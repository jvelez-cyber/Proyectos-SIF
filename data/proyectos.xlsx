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14" documentId="8_{EB6AA456-4B84-40A1-9B64-E05026C77CC0}" xr6:coauthVersionLast="47" xr6:coauthVersionMax="47" xr10:uidLastSave="{CFF7219A-15B1-4DA2-958D-934E61186574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<sst xmlns="http://schemas.openxmlformats.org/spreadsheetml/2006/main" count="4719" uniqueCount="1072">
  <si>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</si>
  <si>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</si>
  <si>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</si>
  <si>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</si>
  <si>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</si>
  <si>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</si>
  <si>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</si>
  <si>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</si>
  <si>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</si>
  <si>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</si>
  <si>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</si>
  <si>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</si>
  <si>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</si>
  <si>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</si>
  <si>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</si>
  <si>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</si>
  <si>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</si>
  <si>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</si>
  <si>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</si>
  <si>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</si>
  <si>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</si>
  <si>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</si>
  <si>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</si>
  <si>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</si>
  <si>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</si>
  <si>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</si>
  <si>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</si>
  <si>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</si>
  <si>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</si>
  <si>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</si>
  <si>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</si>
  <si>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</si>
  <si>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</si>
  <si>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</si>
  <si>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</si>
  <si>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</si>
  <si>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</si>
  <si>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</si>
  <si>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</si>
  <si>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</si>
  <si>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</si>
  <si>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</si>
  <si>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</si>
  <si>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</si>
  <si>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</si>
  <si>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</si>
  <si>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</si>
  <si>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</si>
  <si>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</si>
  <si>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</si>
  <si>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</si>
  <si>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</si>
  <si>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</si>
  <si>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</si>
  <si>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</si>
  <si>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</si>
  <si>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</si>
  <si>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</si>
  <si>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</si>
  <si>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</si>
  <si>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</si>
  <si>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</si>
  <si>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</si>
  <si>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</si>
  <si>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</si>
  <si>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</si>
  <si>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</si>
  <si>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</si>
  <si>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</si>
  <si>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</si>
  <si>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</si>
  <si>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</si>
  <si>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</si>
  <si>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</si>
  <si>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</si>
  <si>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</si>
  <si>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</si>
  <si>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</si>
  <si>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</si>
  <si>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</si>
  <si>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</si>
  <si>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</si>
  <si>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</si>
  <si>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</si>
  <si>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</si>
  <si>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</si>
  <si>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</si>
  <si>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</si>
  <si>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</si>
  <si>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</si>
  <si>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</si>
  <si>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</si>
  <si>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</si>
  <si>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</si>
  <si>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</si>
  <si>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</si>
  <si>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</si>
  <si>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</si>
  <si>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</si>
  <si>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</si>
  <si>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</si>
  <si>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</si>
  <si>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</si>
  <si>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</si>
  <si>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</si>
  <si>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</si>
  <si>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</si>
  <si>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</si>
  <si>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</si>
  <si>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</si>
  <si>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</si>
  <si>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</si>
  <si>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</si>
  <si>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</si>
  <si>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</si>
  <si>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</si>
  <si>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</si>
  <si>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</si>
  <si>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</si>
  <si>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</si>
  <si>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</si>
  <si>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</si>
  <si>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</si>
  <si>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</si>
  <si>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</si>
  <si>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</si>
  <si>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</si>
  <si>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</si>
  <si>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</si>
  <si>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</si>
  <si>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</si>
  <si>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</si>
  <si>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</si>
  <si>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</si>
  <si>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</si>
  <si>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</si>
  <si>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</si>
  <si>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</si>
  <si>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</si>
  <si>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</si>
  <si>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</si>
  <si>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</si>
  <si>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</si>
  <si>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</si>
  <si>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</si>
  <si>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</si>
  <si>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</si>
  <si>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</si>
  <si>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</si>
  <si>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</si>
  <si>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</si>
  <si>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</si>
  <si>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</si>
  <si>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</si>
  <si>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</si>
  <si>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</si>
  <si>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</si>
  <si>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</si>
  <si>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</si>
  <si>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</si>
  <si>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</si>
  <si>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</si>
  <si>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</si>
  <si>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</si>
  <si>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</si>
  <si>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</si>
  <si>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</si>
  <si>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</si>
  <si>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</si>
  <si>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</si>
  <si>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</si>
  <si>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</si>
  <si>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</si>
  <si>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</si>
  <si>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</si>
  <si>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</si>
  <si>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</si>
  <si>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</si>
  <si>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</si>
  <si>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</si>
  <si>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</si>
  <si>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</si>
  <si>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</si>
  <si>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</si>
  <si>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</si>
  <si>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</si>
  <si>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</si>
  <si>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</si>
  <si>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</si>
  <si>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</si>
  <si>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</si>
  <si>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</si>
  <si>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</si>
  <si>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</si>
  <si>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</si>
  <si>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</si>
  <si>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</si>
  <si>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</si>
  <si>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</si>
  <si>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</si>
  <si>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</si>
  <si>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</si>
  <si>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</si>
  <si>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</si>
  <si>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</si>
  <si>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</si>
  <si>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</si>
  <si>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</si>
  <si>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</si>
  <si>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</si>
  <si>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</si>
  <si>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</si>
  <si>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</si>
  <si>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</si>
  <si>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</si>
  <si>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</si>
  <si>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</si>
  <si>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</si>
  <si>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</si>
  <si>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</si>
  <si>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</si>
  <si>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</si>
  <si>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</si>
  <si>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</si>
  <si>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</si>
  <si>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</si>
  <si>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</si>
  <si>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</si>
  <si>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</si>
  <si>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</si>
  <si>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</si>
  <si>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</si>
  <si>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</si>
  <si>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</si>
  <si>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</si>
  <si>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</si>
  <si>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</si>
  <si>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</si>
  <si>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</si>
  <si>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</si>
  <si>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</si>
  <si>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</si>
  <si>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</si>
  <si>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</si>
  <si>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</si>
  <si>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</si>
  <si>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</si>
  <si>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</si>
  <si>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</si>
  <si>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</si>
  <si>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</si>
  <si>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</si>
  <si>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</si>
  <si>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</si>
  <si>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</si>
  <si>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</si>
  <si>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</si>
  <si>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</si>
  <si>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</si>
  <si>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</si>
  <si>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</si>
  <si>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</si>
  <si>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</si>
  <si>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</si>
  <si>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</si>
  <si>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</si>
  <si>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</si>
  <si>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</si>
  <si>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</si>
  <si>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</si>
  <si>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</si>
  <si>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</si>
  <si>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</si>
  <si>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</si>
  <si>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</si>
  <si>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</si>
  <si>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</si>
  <si>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</si>
  <si>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</si>
  <si>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</si>
  <si>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</si>
  <si>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</si>
  <si>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</si>
  <si>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</si>
  <si>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</si>
  <si>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</si>
  <si>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</si>
  <si>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</si>
  <si>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</si>
  <si>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</si>
  <si>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</si>
  <si>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</si>
  <si>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</si>
  <si>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</si>
  <si>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</si>
  <si>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</si>
  <si>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</si>
  <si>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</si>
  <si>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</si>
  <si>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</si>
  <si>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</si>
  <si>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</si>
  <si>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</si>
  <si>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</si>
  <si>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</si>
  <si>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</si>
  <si>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</si>
  <si>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</si>
  <si>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</si>
  <si>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</si>
  <si>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</si>
  <si>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</si>
  <si>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</si>
  <si>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</si>
  <si>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</si>
  <si>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</si>
  <si>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</si>
  <si>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</si>
  <si>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</si>
  <si>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</si>
  <si>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</si>
  <si>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</si>
  <si>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</si>
  <si>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</si>
  <si>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</si>
  <si>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</si>
  <si>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</si>
  <si>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</si>
  <si>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</si>
  <si>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</si>
  <si>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</si>
  <si>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</si>
  <si>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</si>
  <si>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</si>
  <si>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</si>
  <si>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</si>
  <si>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</si>
  <si>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</si>
  <si>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</si>
  <si>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</si>
  <si>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</si>
  <si>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</si>
  <si>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</si>
  <si>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</si>
  <si>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</si>
  <si>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</si>
  <si>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</si>
  <si>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</si>
  <si>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</si>
  <si>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</si>
  <si>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</si>
  <si>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</si>
  <si>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</si>
  <si>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</si>
  <si>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</si>
  <si>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</si>
  <si>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</si>
  <si>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</si>
  <si>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</si>
  <si>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</si>
  <si>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</si>
  <si>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</si>
  <si>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</si>
  <si>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</si>
  <si>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</si>
  <si>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</si>
  <si>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</si>
  <si>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</si>
  <si>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</si>
  <si>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</si>
  <si>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</si>
  <si>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</si>
  <si>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</si>
  <si>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</si>
  <si>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</si>
  <si>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</si>
  <si>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</si>
  <si>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</si>
  <si>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</si>
  <si>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</si>
  <si>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</si>
  <si>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</si>
  <si>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</si>
  <si>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</si>
  <si>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</si>
  <si>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</si>
  <si>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</si>
  <si>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</si>
  <si>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</si>
  <si>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</si>
  <si>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</si>
  <si>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</si>
  <si>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</si>
  <si>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</si>
  <si>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</si>
  <si>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</si>
  <si>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</si>
  <si>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</si>
  <si>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</si>
  <si>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</si>
  <si>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</si>
  <si>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</si>
  <si>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</si>
  <si>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</si>
  <si>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</si>
  <si>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</si>
  <si>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</si>
  <si>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</si>
  <si>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</si>
  <si>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</si>
  <si>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</si>
  <si>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</si>
  <si>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</si>
  <si>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</si>
  <si>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</si>
  <si>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</si>
  <si>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</si>
  <si>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</si>
  <si>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</si>
  <si>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</si>
  <si>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</si>
  <si>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</si>
  <si>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</si>
  <si>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</si>
  <si>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</si>
  <si>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</si>
  <si>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</si>
  <si>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</si>
  <si>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</si>
  <si>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</si>
  <si>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</si>
  <si>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</si>
  <si>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</si>
  <si>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</si>
  <si>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</si>
  <si>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</si>
  <si>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</si>
  <si>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</si>
  <si>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</si>
  <si>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</si>
  <si>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</si>
  <si>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</si>
  <si>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</si>
  <si>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</si>
  <si>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</si>
  <si>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</si>
  <si>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</si>
  <si>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</si>
  <si>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</si>
  <si>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</si>
  <si>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</si>
  <si>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</si>
  <si>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</si>
  <si>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</si>
  <si>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</si>
  <si>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</si>
  <si>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</si>
  <si>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</si>
  <si>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</si>
  <si>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</si>
  <si>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</si>
  <si>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</si>
  <si>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</si>
  <si>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</si>
  <si>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</si>
  <si>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</si>
  <si>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</si>
  <si>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</si>
  <si>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</si>
  <si>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</si>
  <si>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</si>
  <si>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</si>
  <si>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</si>
  <si>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</si>
  <si>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</si>
  <si>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</si>
  <si>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</si>
  <si>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</si>
  <si>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</si>
  <si>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</si>
  <si>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</si>
  <si>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</si>
  <si>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</si>
  <si>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</si>
  <si>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</si>
  <si>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</si>
  <si>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</si>
  <si>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</si>
  <si>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</si>
  <si>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</si>
  <si>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</si>
  <si>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</si>
  <si>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</si>
  <si>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</si>
  <si>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</si>
  <si>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</si>
  <si>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</si>
  <si>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</si>
  <si>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</si>
  <si>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</si>
  <si>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</si>
  <si>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</si>
  <si>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</si>
  <si>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</si>
  <si>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</si>
  <si>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</si>
  <si>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</si>
  <si>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</si>
  <si>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</si>
  <si>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</si>
  <si>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</si>
  <si>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</si>
  <si>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</si>
  <si>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</si>
  <si>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</si>
  <si>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</si>
  <si>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</si>
  <si>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</si>
  <si>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</si>
  <si>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</si>
  <si>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</si>
  <si>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</si>
  <si>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</si>
  <si>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</si>
  <si>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</si>
  <si>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</si>
  <si>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</si>
  <si>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</si>
  <si>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</si>
  <si>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</si>
  <si>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</si>
  <si>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</si>
  <si>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</si>
  <si>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</si>
  <si>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</si>
  <si>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</si>
  <si>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</si>
  <si>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</si>
  <si>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</si>
  <si>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</si>
  <si>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</si>
  <si>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</si>
  <si>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</si>
  <si>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</si>
  <si>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</si>
  <si>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</si>
  <si>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</si>
  <si>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</si>
  <si>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</si>
  <si>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</si>
  <si>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</si>
  <si>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</si>
  <si>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</si>
  <si>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</si>
  <si>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</si>
  <si>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</si>
  <si>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</si>
  <si>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</si>
  <si>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</si>
  <si>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</si>
  <si>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</si>
  <si>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</si>
  <si>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</si>
  <si>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</si>
  <si>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</si>
  <si>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</si>
  <si>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</si>
  <si>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</si>
  <si>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</si>
  <si>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</si>
  <si>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</si>
  <si>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</si>
  <si>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</si>
  <si>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</si>
  <si>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</si>
  <si>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</si>
  <si>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</si>
  <si>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</si>
  <si>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</si>
  <si>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</si>
  <si>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</si>
  <si>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</si>
  <si>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</si>
  <si>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</si>
  <si>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</si>
  <si>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</si>
  <si>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</si>
  <si>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</si>
  <si>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</si>
  <si>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</si>
  <si>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</si>
  <si>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</si>
  <si>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</si>
  <si>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</si>
  <si>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</si>
  <si>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</si>
  <si>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</si>
  <si>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</si>
  <si>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</si>
  <si>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</si>
  <si>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</si>
  <si>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</si>
  <si>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</si>
  <si>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</si>
  <si>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</si>
  <si>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</si>
  <si>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</si>
  <si>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</si>
  <si>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</si>
  <si>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</si>
  <si>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</si>
  <si>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</si>
  <si>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</si>
  <si>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</si>
  <si>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</si>
  <si>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</si>
  <si>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</si>
  <si>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</si>
  <si>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</si>
  <si>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</si>
  <si>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</si>
  <si>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</si>
  <si>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</si>
  <si>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</si>
  <si>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</si>
  <si>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</si>
  <si>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</si>
  <si>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</si>
  <si>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</si>
  <si>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</si>
  <si>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</si>
  <si>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</si>
  <si>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</si>
  <si>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</si>
  <si>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</si>
  <si>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</si>
  <si>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</si>
  <si>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</si>
  <si>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</si>
  <si>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</si>
  <si>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</si>
  <si>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</si>
  <si>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</si>
  <si>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</si>
  <si>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</si>
  <si>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</si>
  <si>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</si>
  <si>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</si>
  <si>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</si>
  <si>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</si>
  <si>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</si>
  <si>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</si>
  <si>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</si>
  <si>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</si>
  <si>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</si>
  <si>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</si>
  <si>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</si>
  <si>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</si>
  <si>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</si>
  <si>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</si>
  <si>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</si>
  <si>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</si>
  <si>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</si>
  <si>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</si>
  <si>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</si>
  <si>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</si>
  <si>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</si>
  <si>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</si>
  <si>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</si>
  <si>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</si>
  <si>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</si>
  <si>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</si>
  <si>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</si>
  <si>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</si>
  <si>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</si>
  <si>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</si>
  <si>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</si>
  <si>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</si>
  <si>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</si>
  <si>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</si>
  <si>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</si>
  <si>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</si>
  <si>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</si>
  <si>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</si>
  <si>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</si>
  <si>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</si>
  <si>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</si>
  <si>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</si>
  <si>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</si>
  <si>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</si>
  <si>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</si>
  <si>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</si>
  <si>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</si>
  <si>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</si>
  <si>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</si>
  <si>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</si>
  <si>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</si>
  <si>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</si>
  <si>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</si>
  <si>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</si>
  <si>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</si>
  <si>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</si>
  <si>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</si>
  <si>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</si>
  <si>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</si>
  <si>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</si>
  <si>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</si>
  <si>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</si>
  <si>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</si>
  <si>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</si>
  <si>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</si>
  <si>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</si>
  <si>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</si>
  <si>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</si>
  <si>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</si>
  <si>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</si>
  <si>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</si>
  <si>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</si>
  <si>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</si>
  <si>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</si>
  <si>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</si>
  <si>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</si>
  <si>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</si>
  <si>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</si>
  <si>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</si>
  <si>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</si>
  <si>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</si>
  <si>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</si>
  <si>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</si>
  <si>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</si>
  <si>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</si>
  <si>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</si>
  <si>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</si>
  <si>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</si>
  <si>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</si>
  <si>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</si>
  <si>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</si>
  <si>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</si>
  <si>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</si>
  <si>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</si>
  <si>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</si>
  <si>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</si>
  <si>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</si>
  <si>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</si>
  <si>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</si>
  <si>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</si>
  <si>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</si>
  <si>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</si>
  <si>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</si>
  <si>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</si>
  <si>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</si>
  <si>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</si>
  <si>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</si>
  <si>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</si>
  <si>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</si>
  <si>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</si>
  <si>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</si>
  <si>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</si>
  <si>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</si>
  <si>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</si>
  <si>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</si>
  <si>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</si>
  <si>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</si>
  <si>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</si>
  <si>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</si>
  <si>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</si>
  <si>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</si>
  <si>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</si>
  <si>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</si>
  <si>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</si>
  <si>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</si>
  <si>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</si>
  <si>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</si>
  <si>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</si>
  <si>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</si>
  <si>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</si>
  <si>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</si>
  <si>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</si>
  <si>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</si>
  <si>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</si>
  <si>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</si>
  <si>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</si>
  <si>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</si>
  <si>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</si>
  <si>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</si>
  <si>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</si>
  <si>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</si>
  <si>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</si>
  <si>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</si>
  <si>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</si>
  <si>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</si>
  <si>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</si>
  <si>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</si>
  <si>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</si>
  <si>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</si>
  <si>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</si>
  <si>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</si>
  <si>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</si>
  <si>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</si>
  <si>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</si>
  <si>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</si>
  <si>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</si>
  <si>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</si>
  <si>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</si>
  <si>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</si>
  <si>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</si>
  <si>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</si>
  <si>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</si>
  <si>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</si>
  <si>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</si>
  <si>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</si>
  <si>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</si>
  <si>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</si>
  <si>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</si>
  <si>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</si>
  <si>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</si>
  <si>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</si>
  <si>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</si>
  <si>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</si>
  <si>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</si>
  <si>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</si>
  <si>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</si>
  <si>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</si>
  <si>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</si>
  <si>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</si>
  <si>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</si>
  <si>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</si>
  <si>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</si>
  <si>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</si>
  <si>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</si>
  <si>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</si>
  <si>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</si>
  <si>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</si>
  <si>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</si>
  <si>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</si>
  <si>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</si>
  <si>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</si>
  <si>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</si>
  <si>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</si>
  <si>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</si>
  <si>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</si>
  <si>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</si>
  <si>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</si>
  <si>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</si>
  <si>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</si>
  <si>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</si>
  <si>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</si>
  <si>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</si>
  <si>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</si>
  <si>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</si>
  <si>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</si>
  <si>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</si>
  <si>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</si>
  <si>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</si>
  <si>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</si>
  <si>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</si>
  <si>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</si>
  <si>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</si>
  <si>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</si>
  <si>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</si>
  <si>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</si>
  <si>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</si>
  <si>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</si>
  <si>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</si>
  <si>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</si>
  <si>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</si>
  <si>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</si>
  <si>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</si>
  <si>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</si>
  <si>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</si>
  <si>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</si>
  <si>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</si>
  <si>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</si>
  <si>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</si>
  <si>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</si>
  <si>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</si>
  <si>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</si>
  <si>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</si>
  <si>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</si>
  <si>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</si>
  <si>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</si>
  <si>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</si>
  <si>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</si>
  <si>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</si>
  <si>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</si>
  <si>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</si>
  <si>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</si>
  <si>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</si>
  <si>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</si>
  <si>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</si>
  <si>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</si>
  <si>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</si>
  <si>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</si>
  <si>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</si>
  <si>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</si>
  <si>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</si>
  <si>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</si>
  <si>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</si>
  <si>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</si>
  <si>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</si>
  <si>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</si>
  <si>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</si>
  <si>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</si>
  <si>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</si>
  <si>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</si>
  <si>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</si>
  <si>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</si>
  <si>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</si>
  <si>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</si>
  <si>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</si>
  <si>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</si>
  <si>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</si>
  <si>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</si>
  <si>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</si>
  <si>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</si>
  <si>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</si>
  <si>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</si>
  <si>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</si>
  <si>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</si>
  <si>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</si>
  <si>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</si>
  <si>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</si>
  <si>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</si>
  <si>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</si>
  <si>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</si>
  <si>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</si>
  <si>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</si>
  <si>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</si>
  <si>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</si>
  <si>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</si>
  <si>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</si>
  <si>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</si>
  <si>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</si>
  <si>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</si>
  <si>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</si>
  <si>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</si>
  <si>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</si>
  <si>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</si>
  <si>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</si>
  <si>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</si>
  <si>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</si>
  <si>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</si>
  <si>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</si>
  <si>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</si>
  <si>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</si>
  <si>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</si>
  <si>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</si>
  <si>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</si>
  <si>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</si>
  <si>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</si>
  <si>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</si>
  <si>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</si>
  <si>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</si>
  <si>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</si>
  <si>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</si>
  <si>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</si>
  <si>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</si>
  <si>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</si>
  <si>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</si>
  <si>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</si>
  <si>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</si>
  <si>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</si>
  <si>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</si>
  <si>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</si>
  <si>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</si>
  <si>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</si>
  <si>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</si>
  <si>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</si>
  <si>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</si>
  <si>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</si>
  <si>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</si>
  <si>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</si>
  <si>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</si>
  <si>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</si>
  <si>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</si>
  <si>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</si>
  <si>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</si>
  <si>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</si>
  <si>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</si>
  <si>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</si>
  <si>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</si>
  <si>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</si>
  <si>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</si>
  <si>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</si>
  <si>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</si>
  <si>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</si>
  <si>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</si>
  <si>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</si>
  <si>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</si>
  <si>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</si>
  <si>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</si>
  <si>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</si>
  <si>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</si>
  <si>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</si>
  <si>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</si>
  <si>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</si>
  <si>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</si>
  <si>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</si>
  <si>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</si>
  <si>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</si>
  <si>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</si>
  <si>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</si>
  <si>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</si>
  <si>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</si>
  <si>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</si>
  <si>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</si>
  <si>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</si>
  <si>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</si>
  <si>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</si>
  <si>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</si>
  <si>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</si>
  <si>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</si>
  <si>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</si>
  <si>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</si>
  <si>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</si>
  <si>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</si>
  <si>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</si>
  <si>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</si>
  <si>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</si>
  <si>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</si>
  <si>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</si>
  <si>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</si>
  <si>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</si>
  <si>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</si>
  <si>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</si>
  <si>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</si>
  <si>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</si>
  <si>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</si>
  <si>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</si>
  <si>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</si>
  <si>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</si>
  <si>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</si>
  <si>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</si>
  <si>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</si>
  <si>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</si>
  <si>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</si>
  <si>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</si>
  <si>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</si>
  <si>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</si>
  <si>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</si>
  <si>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</si>
  <si>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</si>
  <si>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</si>
  <si>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</si>
  <si>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</si>
  <si>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</si>
  <si>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</si>
  <si>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</si>
  <si>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</si>
  <si>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</si>
  <si>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</si>
  <si>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</si>
  <si>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</si>
  <si>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</si>
  <si>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</si>
  <si>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</si>
  <si>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</si>
  <si>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</si>
  <si>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</si>
  <si>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</si>
  <si>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</si>
  <si>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</si>
  <si>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</si>
  <si>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</si>
  <si>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</si>
  <si>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</si>
  <si>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</si>
  <si>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</si>
  <si>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</si>
  <si>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</si>
  <si>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</si>
  <si>
    <t xml:space="preserve">Actividades preliminares 
Topografía, Exploración geotécnica,y Limpieza de obras transversales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</si>
</sst>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0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W521"/>
  <sheetViews>
    <sheetView tabSelected="1" topLeftCell="B2" zoomScale="84" zoomScaleNormal="84" zoomScaleSheetLayoutView="94" workbookViewId="0">
      <selection activeCell="G522" sqref="G522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hidden="1" customWidth="1"/>
    <col min="4" max="4" width="19.5546875" style="33" hidden="1" customWidth="1"/>
    <col min="5" max="5" width="25.44140625" style="55" hidden="1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hidden="1" customWidth="1"/>
    <col min="16" max="16" width="19.109375" style="33" customWidth="1"/>
    <col min="17" max="17" width="20.5546875" style="33" customWidth="1"/>
    <col min="18" max="18" width="23.5546875" style="88" hidden="1" customWidth="1"/>
    <col min="19" max="19" width="25.109375" style="91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105" t="s">
        <v>0</v>
      </c>
      <c r="C1" s="105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86" t="s">
        <v>17</v>
      </c>
      <c r="S2" s="90" t="s">
        <v>18</v>
      </c>
      <c r="T2" s="6" t="s">
        <v>19</v>
      </c>
      <c r="U2" s="35" t="s">
        <v>20</v>
      </c>
      <c r="W2" s="13"/>
    </row>
    <row r="3" spans="1:23" ht="62.4" hidden="1" customHeight="1">
      <c r="A3" s="102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37</v>
      </c>
      <c r="R3" s="89">
        <v>46174</v>
      </c>
      <c r="S3" s="89">
        <v>46497</v>
      </c>
      <c r="T3" s="80">
        <v>6.6E-3</v>
      </c>
      <c r="U3" s="76" t="s">
        <v>1070</v>
      </c>
    </row>
    <row r="4" spans="1:23" ht="62.4" hidden="1" customHeight="1">
      <c r="A4" s="102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31</v>
      </c>
      <c r="G4" s="71" t="s">
        <v>32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84" t="s">
        <v>37</v>
      </c>
      <c r="R4" s="89">
        <v>46174</v>
      </c>
      <c r="S4" s="89">
        <v>46497</v>
      </c>
      <c r="T4" s="80">
        <v>1E-3</v>
      </c>
      <c r="U4" s="85" t="s">
        <v>1070</v>
      </c>
    </row>
    <row r="5" spans="1:23" ht="41.4" hidden="1">
      <c r="A5" s="102"/>
      <c r="B5" s="66" t="s">
        <v>21</v>
      </c>
      <c r="C5" s="66" t="s">
        <v>22</v>
      </c>
      <c r="D5" s="66" t="s">
        <v>33</v>
      </c>
      <c r="E5" s="81">
        <v>2022003050018</v>
      </c>
      <c r="F5" s="71" t="s">
        <v>34</v>
      </c>
      <c r="G5" s="71" t="s">
        <v>35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36</v>
      </c>
      <c r="O5" s="66" t="s">
        <v>29</v>
      </c>
      <c r="P5" s="66">
        <v>2022</v>
      </c>
      <c r="Q5" s="66" t="s">
        <v>37</v>
      </c>
      <c r="R5" s="66"/>
      <c r="S5" s="66"/>
      <c r="T5" s="80">
        <v>0.96</v>
      </c>
      <c r="U5" s="71" t="s">
        <v>38</v>
      </c>
    </row>
    <row r="6" spans="1:23" ht="27.6" hidden="1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36</v>
      </c>
      <c r="O6" s="71" t="s">
        <v>44</v>
      </c>
      <c r="P6" s="66">
        <v>2019</v>
      </c>
      <c r="Q6" s="66" t="s">
        <v>37</v>
      </c>
      <c r="R6" s="66"/>
      <c r="S6" s="66"/>
      <c r="T6" s="80">
        <v>0.89229999999999998</v>
      </c>
      <c r="U6" s="66"/>
    </row>
    <row r="7" spans="1:23" ht="13.8" hidden="1">
      <c r="A7" s="101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 hidden="1">
      <c r="A8" s="106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 hidden="1">
      <c r="A9" s="106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37</v>
      </c>
      <c r="R9" s="66"/>
      <c r="S9" s="66"/>
      <c r="T9" s="40">
        <v>0.92</v>
      </c>
      <c r="U9" s="66"/>
    </row>
    <row r="10" spans="1:23" ht="41.4" hidden="1">
      <c r="A10" s="102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37</v>
      </c>
      <c r="R10" s="66"/>
      <c r="S10" s="66"/>
      <c r="T10" s="66"/>
      <c r="U10" s="66" t="s">
        <v>56</v>
      </c>
    </row>
    <row r="11" spans="1:23" ht="27.6" hidden="1">
      <c r="A11" s="95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37</v>
      </c>
      <c r="R11" s="87"/>
      <c r="S11" s="89"/>
      <c r="T11" s="80">
        <v>0</v>
      </c>
      <c r="U11" s="85" t="s">
        <v>1070</v>
      </c>
    </row>
    <row r="12" spans="1:23" ht="52.95" hidden="1" customHeight="1">
      <c r="A12" s="95"/>
      <c r="B12" s="71" t="s">
        <v>57</v>
      </c>
      <c r="C12" s="66" t="s">
        <v>22</v>
      </c>
      <c r="D12" s="66" t="s">
        <v>61</v>
      </c>
      <c r="E12" s="81" t="s">
        <v>62</v>
      </c>
      <c r="F12" s="71" t="s">
        <v>63</v>
      </c>
      <c r="G12" s="71" t="s">
        <v>64</v>
      </c>
      <c r="H12" s="71">
        <v>5</v>
      </c>
      <c r="I12" s="71"/>
      <c r="J12" s="71" t="s">
        <v>61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65</v>
      </c>
      <c r="P12" s="66">
        <v>2025</v>
      </c>
      <c r="Q12" s="66" t="s">
        <v>37</v>
      </c>
      <c r="R12" s="66"/>
      <c r="S12" s="66"/>
      <c r="T12" s="80">
        <v>0.03</v>
      </c>
      <c r="U12" s="76"/>
    </row>
    <row r="13" spans="1:23" ht="13.8" hidden="1">
      <c r="A13" s="95"/>
      <c r="B13" s="71" t="s">
        <v>57</v>
      </c>
      <c r="C13" s="66" t="s">
        <v>22</v>
      </c>
      <c r="D13" s="66" t="s">
        <v>66</v>
      </c>
      <c r="E13" s="81">
        <v>4600017869</v>
      </c>
      <c r="F13" s="71" t="s">
        <v>67</v>
      </c>
      <c r="G13" s="66" t="s">
        <v>68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69</v>
      </c>
    </row>
    <row r="14" spans="1:23" ht="13.8" hidden="1">
      <c r="A14" s="95"/>
      <c r="B14" s="71" t="s">
        <v>57</v>
      </c>
      <c r="C14" s="66" t="s">
        <v>22</v>
      </c>
      <c r="D14" s="66" t="s">
        <v>41</v>
      </c>
      <c r="E14" s="81" t="s">
        <v>70</v>
      </c>
      <c r="F14" s="71" t="s">
        <v>71</v>
      </c>
      <c r="G14" s="66" t="s">
        <v>72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73</v>
      </c>
      <c r="O14" s="71" t="s">
        <v>50</v>
      </c>
      <c r="P14" s="66">
        <v>2025</v>
      </c>
      <c r="Q14" s="66" t="s">
        <v>74</v>
      </c>
      <c r="R14" s="66"/>
      <c r="S14" s="66"/>
      <c r="T14" s="70">
        <v>1</v>
      </c>
      <c r="U14" s="66" t="s">
        <v>75</v>
      </c>
    </row>
    <row r="15" spans="1:23" ht="13.8" hidden="1">
      <c r="A15" s="95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76</v>
      </c>
      <c r="G15" s="66" t="s">
        <v>77</v>
      </c>
      <c r="H15" s="66" t="s">
        <v>78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36</v>
      </c>
      <c r="O15" s="71" t="s">
        <v>79</v>
      </c>
      <c r="P15" s="66">
        <v>2026</v>
      </c>
      <c r="Q15" s="66" t="s">
        <v>37</v>
      </c>
      <c r="R15" s="66"/>
      <c r="S15" s="66"/>
      <c r="T15" s="70">
        <v>0.23</v>
      </c>
      <c r="U15" s="66"/>
    </row>
    <row r="16" spans="1:23" ht="66.599999999999994" hidden="1" customHeight="1">
      <c r="A16" s="95"/>
      <c r="B16" s="71" t="s">
        <v>57</v>
      </c>
      <c r="C16" s="66" t="s">
        <v>22</v>
      </c>
      <c r="D16" s="66" t="s">
        <v>41</v>
      </c>
      <c r="E16" s="81" t="s">
        <v>80</v>
      </c>
      <c r="F16" s="71" t="s">
        <v>81</v>
      </c>
      <c r="G16" s="66" t="s">
        <v>77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73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82</v>
      </c>
    </row>
    <row r="17" spans="1:21" ht="13.8" hidden="1">
      <c r="A17" s="66"/>
      <c r="B17" s="71" t="s">
        <v>83</v>
      </c>
      <c r="C17" s="66" t="s">
        <v>84</v>
      </c>
      <c r="D17" s="66" t="s">
        <v>23</v>
      </c>
      <c r="E17" s="81" t="s">
        <v>62</v>
      </c>
      <c r="F17" s="71" t="s">
        <v>85</v>
      </c>
      <c r="G17" s="66" t="s">
        <v>86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hidden="1" customHeight="1">
      <c r="A18" s="66">
        <v>4</v>
      </c>
      <c r="B18" s="71" t="s">
        <v>83</v>
      </c>
      <c r="C18" s="66" t="s">
        <v>84</v>
      </c>
      <c r="D18" s="66" t="s">
        <v>41</v>
      </c>
      <c r="E18" s="81">
        <v>2025003050003</v>
      </c>
      <c r="F18" s="71" t="s">
        <v>87</v>
      </c>
      <c r="G18" s="66" t="s">
        <v>88</v>
      </c>
      <c r="H18" s="66">
        <v>3.5</v>
      </c>
      <c r="I18" s="66" t="s">
        <v>89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36</v>
      </c>
      <c r="O18" s="2" t="s">
        <v>44</v>
      </c>
      <c r="P18" s="66">
        <v>2025</v>
      </c>
      <c r="Q18" s="66" t="s">
        <v>37</v>
      </c>
      <c r="R18" s="66"/>
      <c r="S18" s="66"/>
      <c r="T18" s="70">
        <v>0.87</v>
      </c>
      <c r="U18" s="71"/>
    </row>
    <row r="19" spans="1:21" ht="41.4" hidden="1">
      <c r="A19" s="66"/>
      <c r="B19" s="71" t="s">
        <v>90</v>
      </c>
      <c r="C19" s="66" t="s">
        <v>91</v>
      </c>
      <c r="D19" s="66" t="s">
        <v>41</v>
      </c>
      <c r="E19" s="81">
        <v>2020000040028</v>
      </c>
      <c r="F19" s="71" t="s">
        <v>92</v>
      </c>
      <c r="G19" s="66" t="s">
        <v>93</v>
      </c>
      <c r="H19" s="66">
        <v>3.3</v>
      </c>
      <c r="I19" s="66" t="s">
        <v>89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36</v>
      </c>
      <c r="O19" s="2" t="s">
        <v>44</v>
      </c>
      <c r="P19" s="66">
        <v>2020</v>
      </c>
      <c r="Q19" s="66" t="s">
        <v>37</v>
      </c>
      <c r="R19" s="66"/>
      <c r="S19" s="66"/>
      <c r="T19" s="70">
        <v>0.67749999999999999</v>
      </c>
      <c r="U19" s="71" t="s">
        <v>38</v>
      </c>
    </row>
    <row r="20" spans="1:21" ht="97.95" hidden="1" customHeight="1">
      <c r="A20" s="95">
        <v>5</v>
      </c>
      <c r="B20" s="71" t="s">
        <v>90</v>
      </c>
      <c r="C20" s="66" t="s">
        <v>91</v>
      </c>
      <c r="D20" s="66" t="s">
        <v>23</v>
      </c>
      <c r="E20" s="66" t="s">
        <v>94</v>
      </c>
      <c r="F20" s="71" t="s">
        <v>95</v>
      </c>
      <c r="G20" s="71" t="s">
        <v>96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97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82</v>
      </c>
    </row>
    <row r="21" spans="1:21" ht="122.4" hidden="1" customHeight="1">
      <c r="A21" s="95"/>
      <c r="B21" s="71" t="s">
        <v>90</v>
      </c>
      <c r="C21" s="66" t="s">
        <v>91</v>
      </c>
      <c r="D21" s="66" t="s">
        <v>23</v>
      </c>
      <c r="E21" s="81" t="s">
        <v>62</v>
      </c>
      <c r="F21" s="71" t="s">
        <v>98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99</v>
      </c>
      <c r="O21" s="71" t="s">
        <v>62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100</v>
      </c>
    </row>
    <row r="22" spans="1:21" ht="27.6" hidden="1">
      <c r="A22" s="95"/>
      <c r="B22" s="71"/>
      <c r="C22" s="66" t="s">
        <v>91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97</v>
      </c>
      <c r="P22" s="66">
        <v>2025</v>
      </c>
      <c r="Q22" s="84" t="s">
        <v>37</v>
      </c>
      <c r="R22" s="87"/>
      <c r="S22" s="89"/>
      <c r="T22" s="80"/>
      <c r="U22" s="71" t="s">
        <v>103</v>
      </c>
    </row>
    <row r="23" spans="1:21" ht="13.8" hidden="1">
      <c r="A23" s="95"/>
      <c r="B23" s="71" t="s">
        <v>90</v>
      </c>
      <c r="C23" s="66" t="s">
        <v>91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36</v>
      </c>
      <c r="O23" s="2" t="s">
        <v>44</v>
      </c>
      <c r="P23" s="66">
        <v>2024</v>
      </c>
      <c r="Q23" s="66" t="s">
        <v>37</v>
      </c>
      <c r="R23" s="66"/>
      <c r="S23" s="66"/>
      <c r="T23" s="70">
        <v>0.18</v>
      </c>
      <c r="U23" s="71"/>
    </row>
    <row r="24" spans="1:21" ht="66" hidden="1" customHeight="1">
      <c r="A24" s="95">
        <v>6</v>
      </c>
      <c r="B24" s="71" t="s">
        <v>107</v>
      </c>
      <c r="C24" s="66" t="s">
        <v>84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97</v>
      </c>
      <c r="P24" s="66">
        <v>2025</v>
      </c>
      <c r="Q24" s="84" t="s">
        <v>37</v>
      </c>
      <c r="R24" s="87"/>
      <c r="S24" s="89"/>
      <c r="T24" s="80"/>
      <c r="U24" s="71" t="s">
        <v>103</v>
      </c>
    </row>
    <row r="25" spans="1:21" ht="13.8" hidden="1">
      <c r="A25" s="95"/>
      <c r="B25" s="71" t="s">
        <v>107</v>
      </c>
      <c r="C25" s="66" t="s">
        <v>84</v>
      </c>
      <c r="D25" s="66" t="s">
        <v>41</v>
      </c>
      <c r="E25" s="81" t="s">
        <v>110</v>
      </c>
      <c r="F25" s="71" t="s">
        <v>81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73</v>
      </c>
      <c r="O25" s="71" t="s">
        <v>50</v>
      </c>
      <c r="P25" s="66">
        <v>2024</v>
      </c>
      <c r="Q25" s="66" t="s">
        <v>74</v>
      </c>
      <c r="R25" s="66"/>
      <c r="S25" s="66"/>
      <c r="T25" s="70">
        <v>1</v>
      </c>
      <c r="U25" s="66" t="s">
        <v>75</v>
      </c>
    </row>
    <row r="26" spans="1:21" ht="70.2" hidden="1" customHeight="1">
      <c r="A26" s="95"/>
      <c r="B26" s="71" t="s">
        <v>107</v>
      </c>
      <c r="C26" s="66" t="s">
        <v>84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hidden="1" customHeight="1">
      <c r="A27" s="95"/>
      <c r="B27" s="71" t="s">
        <v>107</v>
      </c>
      <c r="C27" s="66" t="s">
        <v>84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36</v>
      </c>
      <c r="O27" s="71" t="s">
        <v>97</v>
      </c>
      <c r="P27" s="66">
        <v>2025</v>
      </c>
      <c r="Q27" s="66" t="s">
        <v>30</v>
      </c>
      <c r="R27" s="66"/>
      <c r="S27" s="66"/>
      <c r="T27" s="80"/>
      <c r="U27" s="71" t="s">
        <v>118</v>
      </c>
    </row>
    <row r="28" spans="1:21" ht="13.8" hidden="1">
      <c r="A28" s="95"/>
      <c r="B28" s="71" t="s">
        <v>107</v>
      </c>
      <c r="C28" s="66" t="s">
        <v>84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69</v>
      </c>
    </row>
    <row r="29" spans="1:21" ht="81.599999999999994" hidden="1" customHeight="1">
      <c r="A29" s="95"/>
      <c r="B29" s="71" t="s">
        <v>107</v>
      </c>
      <c r="C29" s="66" t="s">
        <v>84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hidden="1" customHeight="1">
      <c r="A30" s="95"/>
      <c r="B30" s="71" t="s">
        <v>107</v>
      </c>
      <c r="C30" s="66" t="s">
        <v>84</v>
      </c>
      <c r="D30" s="66" t="s">
        <v>119</v>
      </c>
      <c r="E30" s="81" t="s">
        <v>62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hidden="1" customHeight="1">
      <c r="A31" s="95"/>
      <c r="B31" s="71" t="s">
        <v>107</v>
      </c>
      <c r="C31" s="66" t="s">
        <v>84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37</v>
      </c>
      <c r="R31" s="66"/>
      <c r="S31" s="66"/>
      <c r="T31" s="70"/>
      <c r="U31" s="71" t="s">
        <v>136</v>
      </c>
    </row>
    <row r="32" spans="1:21" ht="40.950000000000003" hidden="1" customHeight="1">
      <c r="A32" s="95"/>
      <c r="B32" s="71" t="s">
        <v>107</v>
      </c>
      <c r="C32" s="66" t="s">
        <v>84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37</v>
      </c>
      <c r="R32" s="66"/>
      <c r="S32" s="66"/>
      <c r="T32" s="70">
        <v>0.87</v>
      </c>
      <c r="U32" s="71" t="s">
        <v>136</v>
      </c>
    </row>
    <row r="33" spans="1:21" ht="40.950000000000003" hidden="1" customHeight="1">
      <c r="A33" s="95"/>
      <c r="B33" s="71" t="s">
        <v>107</v>
      </c>
      <c r="C33" s="66" t="s">
        <v>84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75</v>
      </c>
    </row>
    <row r="34" spans="1:21" ht="40.950000000000003" hidden="1" customHeight="1">
      <c r="A34" s="95"/>
      <c r="B34" s="71" t="s">
        <v>107</v>
      </c>
      <c r="C34" s="66" t="s">
        <v>84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89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36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75</v>
      </c>
    </row>
    <row r="35" spans="1:21" ht="13.8" hidden="1">
      <c r="A35" s="106"/>
      <c r="B35" s="71" t="s">
        <v>145</v>
      </c>
      <c r="C35" s="66" t="s">
        <v>84</v>
      </c>
      <c r="D35" s="66" t="s">
        <v>23</v>
      </c>
      <c r="E35" s="81"/>
      <c r="F35" s="71" t="s">
        <v>85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hidden="1" customHeight="1">
      <c r="A36" s="102"/>
      <c r="B36" s="71" t="s">
        <v>145</v>
      </c>
      <c r="C36" s="66" t="s">
        <v>84</v>
      </c>
      <c r="D36" s="66" t="s">
        <v>41</v>
      </c>
      <c r="E36" s="81" t="s">
        <v>146</v>
      </c>
      <c r="F36" s="71" t="s">
        <v>81</v>
      </c>
      <c r="G36" s="66" t="s">
        <v>77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hidden="1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97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69</v>
      </c>
    </row>
    <row r="38" spans="1:21" ht="40.950000000000003" hidden="1" customHeight="1">
      <c r="A38" s="95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97</v>
      </c>
      <c r="P38" s="66">
        <v>2025</v>
      </c>
      <c r="Q38" s="84" t="s">
        <v>37</v>
      </c>
      <c r="R38" s="87"/>
      <c r="S38" s="89"/>
      <c r="T38" s="80"/>
      <c r="U38" s="66" t="s">
        <v>154</v>
      </c>
    </row>
    <row r="39" spans="1:21" ht="40.950000000000003" hidden="1" customHeight="1">
      <c r="A39" s="95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78</v>
      </c>
      <c r="H39" s="71">
        <v>1</v>
      </c>
      <c r="I39" s="71" t="s">
        <v>89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36</v>
      </c>
      <c r="O39" s="71" t="s">
        <v>79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156</v>
      </c>
    </row>
    <row r="40" spans="1:21" ht="40.950000000000003" hidden="1" customHeight="1">
      <c r="A40" s="95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81</v>
      </c>
      <c r="G40" s="66" t="s">
        <v>77</v>
      </c>
      <c r="H40" s="66">
        <v>1</v>
      </c>
      <c r="I40" s="66" t="s">
        <v>89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hidden="1" customHeight="1">
      <c r="A41" s="95">
        <v>9</v>
      </c>
      <c r="B41" s="71" t="s">
        <v>158</v>
      </c>
      <c r="C41" s="66" t="s">
        <v>91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36</v>
      </c>
      <c r="O41" s="2" t="s">
        <v>44</v>
      </c>
      <c r="P41" s="66">
        <v>2025</v>
      </c>
      <c r="Q41" s="66" t="s">
        <v>37</v>
      </c>
      <c r="R41" s="66"/>
      <c r="S41" s="66"/>
      <c r="T41" s="70">
        <v>0.78</v>
      </c>
      <c r="U41" s="71"/>
    </row>
    <row r="42" spans="1:21" ht="61.2" hidden="1" customHeight="1">
      <c r="A42" s="95"/>
      <c r="B42" s="71" t="s">
        <v>158</v>
      </c>
      <c r="C42" s="66" t="s">
        <v>91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99</v>
      </c>
      <c r="O42" s="71" t="s">
        <v>62</v>
      </c>
      <c r="P42" s="66">
        <v>2025</v>
      </c>
      <c r="Q42" s="66" t="s">
        <v>37</v>
      </c>
      <c r="R42" s="66"/>
      <c r="S42" s="66"/>
      <c r="T42" s="70"/>
      <c r="U42" s="71" t="s">
        <v>163</v>
      </c>
    </row>
    <row r="43" spans="1:21" ht="102" hidden="1" customHeight="1">
      <c r="A43" s="95"/>
      <c r="B43" s="71" t="s">
        <v>158</v>
      </c>
      <c r="C43" s="66" t="s">
        <v>91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99</v>
      </c>
      <c r="O43" s="71" t="s">
        <v>62</v>
      </c>
      <c r="P43" s="66">
        <v>2024</v>
      </c>
      <c r="Q43" s="66" t="s">
        <v>30</v>
      </c>
      <c r="R43" s="66"/>
      <c r="S43" s="66"/>
      <c r="T43" s="70"/>
      <c r="U43" s="71" t="s">
        <v>166</v>
      </c>
    </row>
    <row r="44" spans="1:21" ht="102" hidden="1" customHeight="1">
      <c r="A44" s="95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99</v>
      </c>
      <c r="O44" s="71" t="s">
        <v>62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 hidden="1">
      <c r="A45" s="95"/>
      <c r="B45" s="71" t="s">
        <v>158</v>
      </c>
      <c r="C45" s="66" t="s">
        <v>91</v>
      </c>
      <c r="D45" s="66" t="s">
        <v>41</v>
      </c>
      <c r="E45" s="81" t="s">
        <v>171</v>
      </c>
      <c r="F45" s="71" t="s">
        <v>172</v>
      </c>
      <c r="G45" s="66" t="s">
        <v>77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73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69</v>
      </c>
    </row>
    <row r="46" spans="1:21" ht="40.950000000000003" hidden="1" customHeight="1">
      <c r="A46" s="95">
        <v>10</v>
      </c>
      <c r="B46" s="71" t="s">
        <v>173</v>
      </c>
      <c r="C46" s="66" t="s">
        <v>40</v>
      </c>
      <c r="D46" s="66" t="s">
        <v>174</v>
      </c>
      <c r="E46" s="81" t="s">
        <v>62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36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 hidden="1">
      <c r="A47" s="101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81</v>
      </c>
      <c r="G47" s="66" t="s">
        <v>77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73</v>
      </c>
      <c r="O47" s="71" t="s">
        <v>50</v>
      </c>
      <c r="P47" s="66">
        <v>2024</v>
      </c>
      <c r="Q47" s="66" t="s">
        <v>37</v>
      </c>
      <c r="R47" s="66"/>
      <c r="S47" s="66"/>
      <c r="T47" s="80">
        <v>0.9</v>
      </c>
      <c r="U47" s="71"/>
    </row>
    <row r="48" spans="1:21" ht="13.8" hidden="1">
      <c r="A48" s="95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77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 hidden="1">
      <c r="A49" s="95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78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37</v>
      </c>
      <c r="R49" s="66"/>
      <c r="S49" s="66"/>
      <c r="T49" s="80"/>
      <c r="U49" s="71" t="s">
        <v>184</v>
      </c>
    </row>
    <row r="50" spans="1:21" ht="13.8" hidden="1">
      <c r="A50" s="95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36</v>
      </c>
      <c r="O50" s="71" t="s">
        <v>187</v>
      </c>
      <c r="P50" s="66">
        <v>2022</v>
      </c>
      <c r="Q50" s="66" t="s">
        <v>37</v>
      </c>
      <c r="R50" s="66"/>
      <c r="S50" s="66"/>
      <c r="T50" s="80">
        <v>0.88390000000000002</v>
      </c>
      <c r="U50" s="71" t="s">
        <v>37</v>
      </c>
    </row>
    <row r="51" spans="1:21" ht="55.2" hidden="1">
      <c r="A51" s="95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36</v>
      </c>
      <c r="O51" s="71"/>
      <c r="P51" s="66">
        <v>2021</v>
      </c>
      <c r="Q51" s="66" t="s">
        <v>37</v>
      </c>
      <c r="R51" s="66"/>
      <c r="S51" s="66"/>
      <c r="T51" s="80">
        <v>0.99199999999999999</v>
      </c>
      <c r="U51" s="71" t="s">
        <v>37</v>
      </c>
    </row>
    <row r="52" spans="1:21" ht="41.4" hidden="1">
      <c r="A52" s="95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36</v>
      </c>
      <c r="O52" s="71"/>
      <c r="P52" s="66">
        <v>2018</v>
      </c>
      <c r="Q52" s="66" t="s">
        <v>37</v>
      </c>
      <c r="R52" s="66"/>
      <c r="S52" s="66"/>
      <c r="T52" s="80">
        <v>0.82540000000000002</v>
      </c>
      <c r="U52" s="71" t="s">
        <v>37</v>
      </c>
    </row>
    <row r="53" spans="1:21" ht="45.6" hidden="1" customHeight="1">
      <c r="A53" s="95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hidden="1" customHeight="1">
      <c r="A54" s="95"/>
      <c r="B54" s="71" t="s">
        <v>195</v>
      </c>
      <c r="C54" s="66" t="s">
        <v>181</v>
      </c>
      <c r="D54" s="66" t="s">
        <v>23</v>
      </c>
      <c r="E54" s="81" t="s">
        <v>62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36</v>
      </c>
      <c r="O54" s="71" t="s">
        <v>62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hidden="1" customHeight="1">
      <c r="A55" s="95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 hidden="1">
      <c r="A56" s="95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36</v>
      </c>
      <c r="O56" s="71" t="s">
        <v>29</v>
      </c>
      <c r="P56" s="66">
        <v>2020</v>
      </c>
      <c r="Q56" s="66" t="s">
        <v>37</v>
      </c>
      <c r="R56" s="66"/>
      <c r="S56" s="66"/>
      <c r="T56" s="70">
        <v>0.93</v>
      </c>
      <c r="U56" s="71" t="s">
        <v>38</v>
      </c>
    </row>
    <row r="57" spans="1:21" ht="40.950000000000003" hidden="1" customHeight="1">
      <c r="A57" s="95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37</v>
      </c>
      <c r="R57" s="66"/>
      <c r="S57" s="66"/>
      <c r="T57" s="70">
        <v>0.1</v>
      </c>
      <c r="U57" s="71"/>
    </row>
    <row r="58" spans="1:21" ht="34.200000000000003" hidden="1" customHeight="1">
      <c r="A58" s="95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97</v>
      </c>
      <c r="P58" s="66">
        <v>2025</v>
      </c>
      <c r="Q58" s="84" t="s">
        <v>37</v>
      </c>
      <c r="R58" s="87"/>
      <c r="S58" s="89"/>
      <c r="T58" s="80"/>
      <c r="U58" s="66" t="s">
        <v>154</v>
      </c>
    </row>
    <row r="59" spans="1:21" ht="61.2" hidden="1" customHeight="1">
      <c r="A59" s="102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69</v>
      </c>
    </row>
    <row r="60" spans="1:21" ht="61.2" hidden="1" customHeight="1">
      <c r="A60" s="102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77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36</v>
      </c>
      <c r="O60" s="71" t="s">
        <v>44</v>
      </c>
      <c r="P60" s="66">
        <v>2020</v>
      </c>
      <c r="Q60" s="66" t="s">
        <v>37</v>
      </c>
      <c r="R60" s="66"/>
      <c r="S60" s="66"/>
      <c r="T60" s="70">
        <v>0.96</v>
      </c>
      <c r="U60" s="66" t="s">
        <v>37</v>
      </c>
    </row>
    <row r="61" spans="1:21" ht="41.4" hidden="1">
      <c r="A61" s="95"/>
      <c r="B61" s="61" t="s">
        <v>207</v>
      </c>
      <c r="C61" s="62" t="s">
        <v>22</v>
      </c>
      <c r="D61" s="62" t="s">
        <v>41</v>
      </c>
      <c r="E61" s="63" t="s">
        <v>62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36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hidden="1" customHeight="1">
      <c r="A62" s="101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97</v>
      </c>
      <c r="P62" s="66">
        <v>2025</v>
      </c>
      <c r="Q62" s="84" t="s">
        <v>37</v>
      </c>
      <c r="R62" s="87"/>
      <c r="S62" s="89"/>
      <c r="T62" s="80"/>
      <c r="U62" s="66" t="s">
        <v>154</v>
      </c>
    </row>
    <row r="63" spans="1:21" ht="102" hidden="1" customHeight="1">
      <c r="A63" s="106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97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69</v>
      </c>
    </row>
    <row r="64" spans="1:21" ht="107.25" hidden="1" customHeight="1">
      <c r="A64" s="102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69</v>
      </c>
    </row>
    <row r="65" spans="1:21" ht="107.25" hidden="1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75</v>
      </c>
    </row>
    <row r="66" spans="1:21" ht="102" hidden="1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hidden="1" customHeight="1">
      <c r="A67" s="101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97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 hidden="1">
      <c r="A68" s="102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hidden="1" customHeight="1">
      <c r="A69" s="101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97</v>
      </c>
      <c r="P69" s="66">
        <v>2025</v>
      </c>
      <c r="Q69" s="84" t="s">
        <v>37</v>
      </c>
      <c r="R69" s="87"/>
      <c r="S69" s="89"/>
      <c r="T69" s="80"/>
      <c r="U69" s="66" t="s">
        <v>154</v>
      </c>
    </row>
    <row r="70" spans="1:21" ht="41.4" hidden="1">
      <c r="A70" s="106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69</v>
      </c>
    </row>
    <row r="71" spans="1:21" ht="67.95" hidden="1" customHeight="1">
      <c r="A71" s="106"/>
      <c r="B71" s="71" t="s">
        <v>240</v>
      </c>
      <c r="C71" s="66" t="s">
        <v>84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36</v>
      </c>
      <c r="O71" s="71"/>
      <c r="P71" s="66">
        <v>2021</v>
      </c>
      <c r="Q71" s="66" t="s">
        <v>37</v>
      </c>
      <c r="R71" s="66"/>
      <c r="S71" s="66"/>
      <c r="T71" s="70">
        <v>0.97</v>
      </c>
      <c r="U71" s="66" t="s">
        <v>37</v>
      </c>
    </row>
    <row r="72" spans="1:21" ht="174.6" hidden="1" customHeight="1">
      <c r="A72" s="106"/>
      <c r="B72" s="71" t="s">
        <v>243</v>
      </c>
      <c r="C72" s="66" t="s">
        <v>84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97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82</v>
      </c>
    </row>
    <row r="73" spans="1:21" ht="40.950000000000003" hidden="1" customHeight="1">
      <c r="A73" s="106"/>
      <c r="B73" s="71" t="s">
        <v>243</v>
      </c>
      <c r="C73" s="66" t="s">
        <v>84</v>
      </c>
      <c r="D73" s="66" t="s">
        <v>174</v>
      </c>
      <c r="E73" s="81" t="s">
        <v>62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36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hidden="1" customHeight="1">
      <c r="A74" s="106"/>
      <c r="B74" s="71" t="s">
        <v>243</v>
      </c>
      <c r="C74" s="66" t="s">
        <v>84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69</v>
      </c>
    </row>
    <row r="75" spans="1:21" ht="40.950000000000003" hidden="1" customHeight="1">
      <c r="A75" s="106"/>
      <c r="B75" s="71" t="s">
        <v>243</v>
      </c>
      <c r="C75" s="66" t="s">
        <v>84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37</v>
      </c>
      <c r="R75" s="66"/>
      <c r="S75" s="66"/>
      <c r="T75" s="70">
        <v>0.87</v>
      </c>
      <c r="U75" s="71" t="s">
        <v>136</v>
      </c>
    </row>
    <row r="76" spans="1:21" ht="40.950000000000003" hidden="1" customHeight="1">
      <c r="A76" s="106"/>
      <c r="B76" s="71" t="s">
        <v>243</v>
      </c>
      <c r="C76" s="66" t="s">
        <v>84</v>
      </c>
      <c r="D76" s="66" t="s">
        <v>41</v>
      </c>
      <c r="E76" s="81">
        <v>2025003050038</v>
      </c>
      <c r="F76" s="71" t="s">
        <v>251</v>
      </c>
      <c r="G76" s="71" t="s">
        <v>77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36</v>
      </c>
      <c r="O76" s="71" t="s">
        <v>79</v>
      </c>
      <c r="P76" s="66">
        <v>2026</v>
      </c>
      <c r="Q76" s="66" t="s">
        <v>37</v>
      </c>
      <c r="R76" s="66"/>
      <c r="S76" s="66"/>
      <c r="T76" s="70"/>
      <c r="U76" s="71"/>
    </row>
    <row r="77" spans="1:21" ht="13.8" hidden="1">
      <c r="A77" s="102"/>
      <c r="B77" s="71" t="s">
        <v>243</v>
      </c>
      <c r="C77" s="66" t="s">
        <v>84</v>
      </c>
      <c r="D77" s="66" t="s">
        <v>41</v>
      </c>
      <c r="E77" s="81" t="s">
        <v>252</v>
      </c>
      <c r="F77" s="71" t="s">
        <v>81</v>
      </c>
      <c r="G77" s="66" t="s">
        <v>77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73</v>
      </c>
      <c r="O77" s="71" t="s">
        <v>50</v>
      </c>
      <c r="P77" s="66">
        <v>2024</v>
      </c>
      <c r="Q77" s="66" t="s">
        <v>37</v>
      </c>
      <c r="R77" s="66"/>
      <c r="S77" s="66"/>
      <c r="T77" s="70">
        <v>0.3</v>
      </c>
      <c r="U77" s="66" t="s">
        <v>253</v>
      </c>
    </row>
    <row r="78" spans="1:21" ht="20.399999999999999" hidden="1" customHeight="1">
      <c r="A78" s="106"/>
      <c r="B78" s="71" t="s">
        <v>254</v>
      </c>
      <c r="C78" s="66" t="s">
        <v>84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37</v>
      </c>
      <c r="R78" s="66"/>
      <c r="S78" s="66"/>
      <c r="T78" s="70">
        <v>0.87</v>
      </c>
      <c r="U78" s="71" t="s">
        <v>136</v>
      </c>
    </row>
    <row r="79" spans="1:21" ht="13.8" hidden="1">
      <c r="A79" s="106"/>
      <c r="B79" s="71" t="s">
        <v>254</v>
      </c>
      <c r="C79" s="66" t="s">
        <v>84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37</v>
      </c>
      <c r="R79" s="66"/>
      <c r="S79" s="66"/>
      <c r="T79" s="70">
        <v>0.9</v>
      </c>
      <c r="U79" s="66"/>
    </row>
    <row r="80" spans="1:21" ht="13.8" hidden="1">
      <c r="A80" s="106"/>
      <c r="B80" s="71" t="s">
        <v>254</v>
      </c>
      <c r="C80" s="66" t="s">
        <v>84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37</v>
      </c>
      <c r="R80" s="66"/>
      <c r="S80" s="66"/>
      <c r="T80" s="70">
        <v>0.25</v>
      </c>
      <c r="U80" s="66"/>
    </row>
    <row r="81" spans="1:22" ht="150.6" hidden="1" customHeight="1">
      <c r="A81" s="106"/>
      <c r="B81" s="71" t="s">
        <v>254</v>
      </c>
      <c r="C81" s="66" t="s">
        <v>84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97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82</v>
      </c>
    </row>
    <row r="82" spans="1:22" ht="20.399999999999999" hidden="1" customHeight="1">
      <c r="A82" s="106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77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73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69</v>
      </c>
      <c r="V82" s="33"/>
    </row>
    <row r="83" spans="1:22" ht="38.4" hidden="1" customHeight="1">
      <c r="A83" s="106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36</v>
      </c>
      <c r="O83" s="66"/>
      <c r="P83" s="66">
        <v>2023</v>
      </c>
      <c r="Q83" s="66" t="s">
        <v>37</v>
      </c>
      <c r="R83" s="66"/>
      <c r="S83" s="66"/>
      <c r="T83" s="70">
        <v>0.87670000000000003</v>
      </c>
      <c r="U83" s="66" t="s">
        <v>37</v>
      </c>
      <c r="V83" s="33"/>
    </row>
    <row r="84" spans="1:22" ht="27.6" hidden="1">
      <c r="A84" s="106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36</v>
      </c>
      <c r="O84" s="66" t="s">
        <v>97</v>
      </c>
      <c r="P84" s="66">
        <v>2025</v>
      </c>
      <c r="Q84" s="66" t="s">
        <v>30</v>
      </c>
      <c r="R84" s="66"/>
      <c r="S84" s="66"/>
      <c r="T84" s="70"/>
      <c r="U84" s="71" t="s">
        <v>271</v>
      </c>
    </row>
    <row r="85" spans="1:22" ht="55.2" hidden="1">
      <c r="A85" s="106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36</v>
      </c>
      <c r="O85" s="66" t="s">
        <v>97</v>
      </c>
      <c r="P85" s="66">
        <v>2025</v>
      </c>
      <c r="Q85" s="66" t="s">
        <v>30</v>
      </c>
      <c r="R85" s="66"/>
      <c r="S85" s="66"/>
      <c r="T85" s="70"/>
      <c r="U85" s="71" t="s">
        <v>274</v>
      </c>
      <c r="V85" s="33"/>
    </row>
    <row r="86" spans="1:22" ht="20.399999999999999" hidden="1" customHeight="1">
      <c r="A86" s="106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77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73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75</v>
      </c>
      <c r="V86" s="33"/>
    </row>
    <row r="87" spans="1:22" ht="20.399999999999999" hidden="1" customHeight="1">
      <c r="A87" s="106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73</v>
      </c>
      <c r="O87" s="66" t="s">
        <v>114</v>
      </c>
      <c r="P87" s="66">
        <v>2025</v>
      </c>
      <c r="Q87" s="66" t="s">
        <v>74</v>
      </c>
      <c r="R87" s="66"/>
      <c r="S87" s="66"/>
      <c r="T87" s="80">
        <v>1</v>
      </c>
      <c r="U87" s="71" t="s">
        <v>278</v>
      </c>
      <c r="V87" s="33"/>
    </row>
    <row r="88" spans="1:22" ht="13.8" hidden="1">
      <c r="A88" s="106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36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69</v>
      </c>
      <c r="V88" s="33"/>
    </row>
    <row r="89" spans="1:22" ht="13.8" hidden="1">
      <c r="A89" s="106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77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36</v>
      </c>
      <c r="O89" s="2" t="s">
        <v>79</v>
      </c>
      <c r="P89" s="71">
        <v>2026</v>
      </c>
      <c r="Q89" s="71" t="s">
        <v>37</v>
      </c>
      <c r="R89" s="71"/>
      <c r="S89" s="71"/>
      <c r="T89" s="80">
        <v>0</v>
      </c>
      <c r="U89" s="71"/>
      <c r="V89" s="33"/>
    </row>
    <row r="90" spans="1:22" ht="18" hidden="1" customHeight="1">
      <c r="A90" s="106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79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hidden="1" customHeight="1">
      <c r="A91" s="106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92"/>
      <c r="L91" s="92">
        <v>0</v>
      </c>
      <c r="M91" s="92"/>
      <c r="N91" s="95" t="s">
        <v>36</v>
      </c>
      <c r="O91" s="95" t="s">
        <v>29</v>
      </c>
      <c r="P91" s="95">
        <v>2026</v>
      </c>
      <c r="Q91" s="96" t="s">
        <v>129</v>
      </c>
      <c r="R91" s="71"/>
      <c r="S91" s="71"/>
      <c r="T91" s="97">
        <v>0</v>
      </c>
      <c r="U91" s="96" t="s">
        <v>286</v>
      </c>
      <c r="V91" s="33"/>
    </row>
    <row r="92" spans="1:22" ht="40.950000000000003" hidden="1" customHeight="1">
      <c r="A92" s="106"/>
      <c r="B92" s="71" t="s">
        <v>283</v>
      </c>
      <c r="C92" s="66" t="s">
        <v>40</v>
      </c>
      <c r="D92" s="66" t="s">
        <v>174</v>
      </c>
      <c r="E92" s="81" t="s">
        <v>62</v>
      </c>
      <c r="F92" s="71" t="s">
        <v>287</v>
      </c>
      <c r="G92" s="71" t="s">
        <v>288</v>
      </c>
      <c r="H92" s="71" t="s">
        <v>288</v>
      </c>
      <c r="I92" s="71"/>
      <c r="J92" s="71"/>
      <c r="K92" s="93"/>
      <c r="L92" s="93"/>
      <c r="M92" s="93"/>
      <c r="N92" s="95"/>
      <c r="O92" s="95"/>
      <c r="P92" s="95"/>
      <c r="Q92" s="96"/>
      <c r="R92" s="71"/>
      <c r="S92" s="71"/>
      <c r="T92" s="97"/>
      <c r="U92" s="96"/>
    </row>
    <row r="93" spans="1:22" ht="18" hidden="1" customHeight="1">
      <c r="A93" s="106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93"/>
      <c r="L93" s="93"/>
      <c r="M93" s="93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69</v>
      </c>
    </row>
    <row r="94" spans="1:22" ht="18" hidden="1" customHeight="1">
      <c r="A94" s="106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93"/>
      <c r="L94" s="93"/>
      <c r="M94" s="93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69</v>
      </c>
    </row>
    <row r="95" spans="1:22" ht="20.399999999999999" hidden="1" customHeight="1">
      <c r="A95" s="106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81</v>
      </c>
      <c r="G95" s="66" t="s">
        <v>77</v>
      </c>
      <c r="H95" s="66">
        <v>1</v>
      </c>
      <c r="I95" s="66"/>
      <c r="J95" s="66"/>
      <c r="K95" s="93"/>
      <c r="L95" s="93"/>
      <c r="M95" s="93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37</v>
      </c>
    </row>
    <row r="96" spans="1:22" ht="20.399999999999999" hidden="1" customHeight="1">
      <c r="A96" s="106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76</v>
      </c>
      <c r="G96" s="66"/>
      <c r="H96" s="66"/>
      <c r="I96" s="66"/>
      <c r="J96" s="66"/>
      <c r="K96" s="93"/>
      <c r="L96" s="93"/>
      <c r="M96" s="93"/>
      <c r="N96" s="66"/>
      <c r="O96" s="66"/>
      <c r="P96" s="66"/>
      <c r="Q96" s="66"/>
      <c r="R96" s="66"/>
      <c r="S96" s="66"/>
      <c r="T96" s="70"/>
      <c r="U96" s="66"/>
    </row>
    <row r="97" spans="1:21" ht="61.2" hidden="1" customHeight="1">
      <c r="A97" s="106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93"/>
      <c r="L97" s="93"/>
      <c r="M97" s="93"/>
      <c r="N97" s="66" t="s">
        <v>28</v>
      </c>
      <c r="O97" s="66" t="s">
        <v>97</v>
      </c>
      <c r="P97" s="66">
        <v>2025</v>
      </c>
      <c r="Q97" s="84" t="s">
        <v>37</v>
      </c>
      <c r="R97" s="87"/>
      <c r="S97" s="89"/>
      <c r="T97" s="80"/>
      <c r="U97" s="71" t="s">
        <v>295</v>
      </c>
    </row>
    <row r="98" spans="1:21" ht="99.6" hidden="1" customHeight="1">
      <c r="A98" s="106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89</v>
      </c>
      <c r="J98" s="66" t="s">
        <v>162</v>
      </c>
      <c r="K98" s="93"/>
      <c r="L98" s="93"/>
      <c r="M98" s="93"/>
      <c r="N98" s="66" t="s">
        <v>99</v>
      </c>
      <c r="O98" s="66" t="s">
        <v>298</v>
      </c>
      <c r="P98" s="66">
        <v>2025</v>
      </c>
      <c r="Q98" s="66" t="s">
        <v>37</v>
      </c>
      <c r="R98" s="66"/>
      <c r="S98" s="66"/>
      <c r="T98" s="70">
        <v>0</v>
      </c>
      <c r="U98" s="71" t="s">
        <v>299</v>
      </c>
    </row>
    <row r="99" spans="1:21" ht="17.399999999999999" hidden="1" customHeight="1">
      <c r="A99" s="106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77</v>
      </c>
      <c r="H99" s="66">
        <v>1</v>
      </c>
      <c r="I99" s="66"/>
      <c r="J99" s="66"/>
      <c r="K99" s="93"/>
      <c r="L99" s="93"/>
      <c r="M99" s="93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69</v>
      </c>
    </row>
    <row r="100" spans="1:21" ht="17.399999999999999" hidden="1" customHeight="1">
      <c r="A100" s="106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93"/>
      <c r="L100" s="93"/>
      <c r="M100" s="93"/>
      <c r="N100" s="66" t="s">
        <v>73</v>
      </c>
      <c r="O100" s="66" t="s">
        <v>50</v>
      </c>
      <c r="P100" s="66">
        <v>2025</v>
      </c>
      <c r="Q100" s="66" t="s">
        <v>74</v>
      </c>
      <c r="R100" s="66"/>
      <c r="S100" s="66"/>
      <c r="T100" s="70">
        <v>1</v>
      </c>
      <c r="U100" s="66" t="s">
        <v>75</v>
      </c>
    </row>
    <row r="101" spans="1:21" ht="53.4" hidden="1" customHeight="1">
      <c r="A101" s="106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94"/>
      <c r="L101" s="94"/>
      <c r="M101" s="94"/>
      <c r="N101" s="66" t="s">
        <v>36</v>
      </c>
      <c r="O101" s="66" t="s">
        <v>79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hidden="1" customHeight="1">
      <c r="A102" s="106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75</v>
      </c>
    </row>
    <row r="103" spans="1:21" ht="53.4" hidden="1" customHeight="1">
      <c r="A103" s="106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99</v>
      </c>
      <c r="O103" s="66" t="s">
        <v>79</v>
      </c>
      <c r="P103" s="66">
        <v>2025</v>
      </c>
      <c r="Q103" s="66" t="s">
        <v>37</v>
      </c>
      <c r="R103" s="66"/>
      <c r="S103" s="66"/>
      <c r="T103" s="70"/>
      <c r="U103" s="66" t="s">
        <v>163</v>
      </c>
    </row>
    <row r="104" spans="1:21" ht="53.4" hidden="1" customHeight="1">
      <c r="A104" s="106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36</v>
      </c>
      <c r="O104" s="66" t="s">
        <v>79</v>
      </c>
      <c r="P104" s="66">
        <v>2022</v>
      </c>
      <c r="Q104" s="66" t="s">
        <v>37</v>
      </c>
      <c r="R104" s="66"/>
      <c r="S104" s="66"/>
      <c r="T104" s="70">
        <v>0.92391000000000001</v>
      </c>
      <c r="U104" s="66" t="s">
        <v>37</v>
      </c>
    </row>
    <row r="105" spans="1:21" ht="53.4" hidden="1" customHeight="1">
      <c r="A105" s="106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77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36</v>
      </c>
      <c r="O105" s="66" t="s">
        <v>79</v>
      </c>
      <c r="P105" s="66">
        <v>2026</v>
      </c>
      <c r="Q105" s="66" t="s">
        <v>37</v>
      </c>
      <c r="R105" s="66"/>
      <c r="S105" s="66"/>
      <c r="T105" s="70">
        <v>0.23</v>
      </c>
      <c r="U105" s="66"/>
    </row>
    <row r="106" spans="1:21" ht="34.5" hidden="1" customHeight="1">
      <c r="A106" s="106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69</v>
      </c>
    </row>
    <row r="107" spans="1:21" ht="96.6" hidden="1">
      <c r="A107" s="106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hidden="1" customHeight="1">
      <c r="A108" s="106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99</v>
      </c>
      <c r="O108" s="66" t="s">
        <v>62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 hidden="1">
      <c r="A109" s="106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77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37</v>
      </c>
      <c r="R109" s="66"/>
      <c r="S109" s="66"/>
      <c r="T109" s="66"/>
      <c r="U109" s="66"/>
    </row>
    <row r="110" spans="1:21" ht="13.8" hidden="1">
      <c r="A110" s="106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81</v>
      </c>
      <c r="G110" s="66" t="s">
        <v>77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73</v>
      </c>
      <c r="O110" s="66" t="s">
        <v>50</v>
      </c>
      <c r="P110" s="66">
        <v>2024</v>
      </c>
      <c r="Q110" s="66" t="s">
        <v>37</v>
      </c>
      <c r="R110" s="66"/>
      <c r="S110" s="66"/>
      <c r="T110" s="80">
        <v>0.8</v>
      </c>
      <c r="U110" s="71"/>
    </row>
    <row r="111" spans="1:21" ht="60.6" hidden="1" customHeight="1">
      <c r="A111" s="106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77</v>
      </c>
      <c r="H111" s="66">
        <v>1</v>
      </c>
      <c r="I111" s="66" t="s">
        <v>89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36</v>
      </c>
      <c r="O111" s="2" t="s">
        <v>44</v>
      </c>
      <c r="P111" s="66">
        <v>2025</v>
      </c>
      <c r="Q111" s="66" t="s">
        <v>37</v>
      </c>
      <c r="R111" s="66"/>
      <c r="S111" s="66"/>
      <c r="T111" s="80">
        <v>0.48859999999999998</v>
      </c>
      <c r="U111" s="71"/>
    </row>
    <row r="112" spans="1:21" ht="13.8" hidden="1">
      <c r="A112" s="106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69</v>
      </c>
    </row>
    <row r="113" spans="1:21" ht="13.8" hidden="1">
      <c r="A113" s="106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74</v>
      </c>
    </row>
    <row r="114" spans="1:21" ht="41.4" hidden="1">
      <c r="A114" s="106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37</v>
      </c>
      <c r="R114" s="66"/>
      <c r="S114" s="66"/>
      <c r="T114" s="80">
        <v>0.7</v>
      </c>
      <c r="U114" s="71" t="s">
        <v>37</v>
      </c>
    </row>
    <row r="115" spans="1:21" ht="22.95" hidden="1" customHeight="1">
      <c r="A115" s="106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81</v>
      </c>
      <c r="G115" s="66" t="s">
        <v>77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73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69</v>
      </c>
    </row>
    <row r="116" spans="1:21" ht="40.950000000000003" hidden="1" customHeight="1">
      <c r="A116" s="106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36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69</v>
      </c>
    </row>
    <row r="117" spans="1:21" ht="55.2" hidden="1">
      <c r="A117" s="102"/>
      <c r="B117" s="71" t="s">
        <v>340</v>
      </c>
      <c r="C117" s="66" t="s">
        <v>84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36</v>
      </c>
      <c r="O117" s="66" t="s">
        <v>97</v>
      </c>
      <c r="P117" s="66">
        <v>2023</v>
      </c>
      <c r="Q117" s="66" t="s">
        <v>37</v>
      </c>
      <c r="R117" s="66"/>
      <c r="S117" s="66"/>
      <c r="T117" s="40">
        <v>0.92</v>
      </c>
      <c r="U117" s="66" t="s">
        <v>343</v>
      </c>
    </row>
    <row r="118" spans="1:21" ht="13.8" hidden="1">
      <c r="A118" s="72">
        <v>29</v>
      </c>
      <c r="B118" s="71" t="s">
        <v>340</v>
      </c>
      <c r="C118" s="66" t="s">
        <v>84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36</v>
      </c>
      <c r="O118" s="2" t="s">
        <v>44</v>
      </c>
      <c r="P118" s="66">
        <v>2025</v>
      </c>
      <c r="Q118" s="66" t="s">
        <v>37</v>
      </c>
      <c r="R118" s="66"/>
      <c r="S118" s="66"/>
      <c r="T118" s="40">
        <v>0.84</v>
      </c>
      <c r="U118" s="71"/>
    </row>
    <row r="119" spans="1:21" ht="39.6" hidden="1" customHeight="1">
      <c r="A119" s="95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77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 hidden="1">
      <c r="A120" s="95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81</v>
      </c>
      <c r="G120" s="66" t="s">
        <v>77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73</v>
      </c>
      <c r="O120" s="66" t="s">
        <v>50</v>
      </c>
      <c r="P120" s="66">
        <v>2024</v>
      </c>
      <c r="Q120" s="66" t="s">
        <v>37</v>
      </c>
      <c r="R120" s="66"/>
      <c r="S120" s="66"/>
      <c r="T120" s="70">
        <v>0.8</v>
      </c>
      <c r="U120" s="66"/>
    </row>
    <row r="121" spans="1:21" ht="37.200000000000003" hidden="1" customHeight="1">
      <c r="A121" s="111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97</v>
      </c>
      <c r="P121" s="66">
        <v>2025</v>
      </c>
      <c r="Q121" s="84" t="s">
        <v>37</v>
      </c>
      <c r="R121" s="87"/>
      <c r="S121" s="89"/>
      <c r="T121" s="80"/>
      <c r="U121" s="66" t="s">
        <v>154</v>
      </c>
    </row>
    <row r="122" spans="1:21" ht="37.200000000000003" hidden="1" customHeight="1">
      <c r="A122" s="96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97</v>
      </c>
      <c r="P122" s="66">
        <v>2025</v>
      </c>
      <c r="Q122" s="84" t="s">
        <v>37</v>
      </c>
      <c r="R122" s="87"/>
      <c r="S122" s="89"/>
      <c r="T122" s="80"/>
      <c r="U122" s="66" t="s">
        <v>154</v>
      </c>
    </row>
    <row r="123" spans="1:21" ht="142.94999999999999" hidden="1" customHeight="1">
      <c r="A123" s="96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36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 hidden="1">
      <c r="A124" s="96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36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69</v>
      </c>
    </row>
    <row r="125" spans="1:21" ht="131.25" hidden="1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37</v>
      </c>
      <c r="R125" s="66"/>
      <c r="S125" s="66"/>
      <c r="T125" s="80">
        <v>0.75</v>
      </c>
      <c r="U125" s="71" t="s">
        <v>343</v>
      </c>
    </row>
    <row r="126" spans="1:21" ht="27.6" hidden="1">
      <c r="A126" s="66"/>
      <c r="B126" s="71" t="s">
        <v>357</v>
      </c>
      <c r="C126" s="66" t="s">
        <v>181</v>
      </c>
      <c r="D126" s="66" t="s">
        <v>174</v>
      </c>
      <c r="E126" s="81" t="s">
        <v>62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36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 hidden="1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36</v>
      </c>
      <c r="O127" s="66" t="s">
        <v>364</v>
      </c>
      <c r="P127" s="66">
        <v>2026</v>
      </c>
      <c r="Q127" s="66" t="s">
        <v>37</v>
      </c>
      <c r="R127" s="66"/>
      <c r="S127" s="66"/>
      <c r="T127" s="80"/>
      <c r="U127" s="71"/>
    </row>
    <row r="128" spans="1:21" ht="37.950000000000003" hidden="1" customHeight="1">
      <c r="A128" s="66">
        <v>33</v>
      </c>
      <c r="B128" s="71" t="s">
        <v>357</v>
      </c>
      <c r="C128" s="66" t="s">
        <v>181</v>
      </c>
      <c r="D128" s="66" t="s">
        <v>66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37</v>
      </c>
      <c r="R128" s="66"/>
      <c r="S128" s="66"/>
      <c r="T128" s="40">
        <v>0.9</v>
      </c>
      <c r="U128" s="66" t="s">
        <v>37</v>
      </c>
    </row>
    <row r="129" spans="1:21" ht="37.950000000000003" hidden="1" customHeight="1">
      <c r="A129" s="68"/>
      <c r="B129" s="71" t="s">
        <v>367</v>
      </c>
      <c r="C129" s="66" t="s">
        <v>91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36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370</v>
      </c>
    </row>
    <row r="130" spans="1:21" ht="13.8" hidden="1">
      <c r="A130" s="68">
        <v>34</v>
      </c>
      <c r="B130" s="71" t="s">
        <v>367</v>
      </c>
      <c r="C130" s="66" t="s">
        <v>91</v>
      </c>
      <c r="D130" s="66" t="s">
        <v>41</v>
      </c>
      <c r="E130" s="81" t="s">
        <v>371</v>
      </c>
      <c r="F130" s="71" t="s">
        <v>81</v>
      </c>
      <c r="G130" s="66" t="s">
        <v>77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73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hidden="1" customHeight="1">
      <c r="A131" s="68"/>
      <c r="B131" s="71" t="s">
        <v>372</v>
      </c>
      <c r="C131" s="66" t="s">
        <v>84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36</v>
      </c>
      <c r="O131" s="71"/>
      <c r="P131" s="66">
        <v>2021</v>
      </c>
      <c r="Q131" s="66" t="s">
        <v>37</v>
      </c>
      <c r="R131" s="66"/>
      <c r="S131" s="66"/>
      <c r="T131" s="70">
        <v>0.97</v>
      </c>
      <c r="U131" s="66" t="s">
        <v>37</v>
      </c>
    </row>
    <row r="132" spans="1:21" ht="20.399999999999999" hidden="1" customHeight="1">
      <c r="A132" s="68"/>
      <c r="B132" s="71" t="s">
        <v>372</v>
      </c>
      <c r="C132" s="66" t="s">
        <v>84</v>
      </c>
      <c r="D132" s="66" t="s">
        <v>66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 hidden="1">
      <c r="A133" s="95">
        <v>35</v>
      </c>
      <c r="B133" s="71" t="s">
        <v>372</v>
      </c>
      <c r="C133" s="66" t="s">
        <v>84</v>
      </c>
      <c r="D133" s="66" t="s">
        <v>41</v>
      </c>
      <c r="E133" s="81" t="s">
        <v>374</v>
      </c>
      <c r="F133" s="71" t="s">
        <v>81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73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69</v>
      </c>
    </row>
    <row r="134" spans="1:21" ht="13.8" hidden="1">
      <c r="A134" s="95"/>
      <c r="B134" s="71" t="s">
        <v>372</v>
      </c>
      <c r="C134" s="66" t="s">
        <v>84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37</v>
      </c>
      <c r="R134" s="66"/>
      <c r="S134" s="66"/>
      <c r="T134" s="70">
        <v>0.9</v>
      </c>
      <c r="U134" s="66"/>
    </row>
    <row r="135" spans="1:21" ht="41.4" hidden="1">
      <c r="A135" s="95"/>
      <c r="B135" s="71" t="s">
        <v>372</v>
      </c>
      <c r="C135" s="66" t="s">
        <v>84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37</v>
      </c>
      <c r="R135" s="66"/>
      <c r="S135" s="66"/>
      <c r="T135" s="70">
        <v>0.87</v>
      </c>
      <c r="U135" s="71" t="s">
        <v>136</v>
      </c>
    </row>
    <row r="136" spans="1:21" ht="13.8" hidden="1">
      <c r="A136" s="95"/>
      <c r="B136" s="71" t="s">
        <v>372</v>
      </c>
      <c r="C136" s="66" t="s">
        <v>84</v>
      </c>
      <c r="D136" s="66" t="s">
        <v>41</v>
      </c>
      <c r="E136" s="81">
        <v>2024003050244</v>
      </c>
      <c r="F136" s="71" t="s">
        <v>379</v>
      </c>
      <c r="G136" s="66" t="s">
        <v>77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36</v>
      </c>
      <c r="O136" s="2" t="s">
        <v>44</v>
      </c>
      <c r="P136" s="66">
        <v>2024</v>
      </c>
      <c r="Q136" s="66" t="s">
        <v>74</v>
      </c>
      <c r="R136" s="66"/>
      <c r="S136" s="66"/>
      <c r="T136" s="80">
        <v>1</v>
      </c>
      <c r="U136" s="71" t="s">
        <v>380</v>
      </c>
    </row>
    <row r="137" spans="1:21" ht="125.4" hidden="1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97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 hidden="1">
      <c r="A138" s="95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81</v>
      </c>
      <c r="G138" s="66" t="s">
        <v>77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73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hidden="1" customHeight="1">
      <c r="A139" s="95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37</v>
      </c>
      <c r="R139" s="66"/>
      <c r="S139" s="66"/>
      <c r="T139" s="80">
        <v>0.23</v>
      </c>
      <c r="U139" s="71"/>
    </row>
    <row r="140" spans="1:21" ht="40.950000000000003" hidden="1" customHeight="1">
      <c r="A140" s="95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hidden="1" customHeight="1">
      <c r="A141" s="95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74</v>
      </c>
      <c r="R141" s="66"/>
      <c r="S141" s="66"/>
      <c r="T141" s="80">
        <v>1</v>
      </c>
      <c r="U141" s="71"/>
    </row>
    <row r="142" spans="1:21" ht="13.8" hidden="1">
      <c r="A142" s="95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74</v>
      </c>
      <c r="R142" s="66"/>
      <c r="S142" s="66"/>
      <c r="T142" s="80">
        <v>1</v>
      </c>
      <c r="U142" s="71"/>
    </row>
    <row r="143" spans="1:21" ht="13.8" hidden="1">
      <c r="A143" s="95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77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 hidden="1">
      <c r="A144" s="95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76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36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 hidden="1">
      <c r="A145" s="95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81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73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69</v>
      </c>
    </row>
    <row r="146" spans="1:21" ht="102" hidden="1" customHeight="1">
      <c r="A146" s="95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97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hidden="1" customHeight="1">
      <c r="A147" s="95"/>
      <c r="B147" s="71" t="s">
        <v>397</v>
      </c>
      <c r="C147" s="66" t="s">
        <v>22</v>
      </c>
      <c r="D147" s="66" t="s">
        <v>66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69</v>
      </c>
    </row>
    <row r="148" spans="1:21" ht="18.600000000000001" hidden="1" customHeight="1">
      <c r="A148" s="67"/>
      <c r="B148" s="71" t="s">
        <v>402</v>
      </c>
      <c r="C148" s="66" t="s">
        <v>84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82</v>
      </c>
    </row>
    <row r="149" spans="1:21" ht="35.4" hidden="1" customHeight="1">
      <c r="A149" s="106"/>
      <c r="B149" s="71" t="s">
        <v>402</v>
      </c>
      <c r="C149" s="66" t="s">
        <v>84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97</v>
      </c>
      <c r="P149" s="66">
        <v>2025</v>
      </c>
      <c r="Q149" s="84" t="s">
        <v>37</v>
      </c>
      <c r="R149" s="87"/>
      <c r="S149" s="89"/>
      <c r="T149" s="80"/>
      <c r="U149" s="66" t="s">
        <v>154</v>
      </c>
    </row>
    <row r="150" spans="1:21" ht="40.950000000000003" hidden="1" customHeight="1">
      <c r="A150" s="102"/>
      <c r="B150" s="71" t="s">
        <v>402</v>
      </c>
      <c r="C150" s="66" t="s">
        <v>84</v>
      </c>
      <c r="D150" s="66" t="s">
        <v>41</v>
      </c>
      <c r="E150" s="81" t="s">
        <v>146</v>
      </c>
      <c r="F150" s="71" t="s">
        <v>81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37</v>
      </c>
      <c r="R150" s="66"/>
      <c r="S150" s="66"/>
      <c r="T150" s="80">
        <v>0.95</v>
      </c>
      <c r="U150" s="71" t="s">
        <v>343</v>
      </c>
    </row>
    <row r="151" spans="1:21" ht="40.950000000000003" hidden="1" customHeight="1">
      <c r="A151" s="68"/>
      <c r="B151" s="71" t="s">
        <v>407</v>
      </c>
      <c r="C151" s="66" t="s">
        <v>224</v>
      </c>
      <c r="D151" s="66" t="s">
        <v>174</v>
      </c>
      <c r="E151" s="81" t="s">
        <v>62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36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 hidden="1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81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73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hidden="1" customHeight="1">
      <c r="A153" s="101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37</v>
      </c>
      <c r="R153" s="66"/>
      <c r="S153" s="66"/>
      <c r="T153" s="70">
        <v>0.7</v>
      </c>
      <c r="U153" s="66" t="s">
        <v>343</v>
      </c>
    </row>
    <row r="154" spans="1:21" ht="122.4" hidden="1" customHeight="1">
      <c r="A154" s="106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99</v>
      </c>
      <c r="O154" s="71" t="s">
        <v>62</v>
      </c>
      <c r="P154" s="66">
        <v>2024</v>
      </c>
      <c r="Q154" s="66"/>
      <c r="R154" s="66"/>
      <c r="S154" s="66"/>
      <c r="T154" s="70">
        <v>1</v>
      </c>
      <c r="U154" s="66" t="s">
        <v>69</v>
      </c>
    </row>
    <row r="155" spans="1:21" ht="183.6" hidden="1" customHeight="1">
      <c r="A155" s="106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99</v>
      </c>
      <c r="O155" s="71" t="s">
        <v>62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hidden="1" customHeight="1">
      <c r="A156" s="106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99</v>
      </c>
      <c r="O156" s="71" t="s">
        <v>62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hidden="1" customHeight="1">
      <c r="A157" s="106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72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73</v>
      </c>
      <c r="O157" s="71" t="s">
        <v>50</v>
      </c>
      <c r="P157" s="66">
        <v>2025</v>
      </c>
      <c r="Q157" s="66" t="s">
        <v>74</v>
      </c>
      <c r="R157" s="66"/>
      <c r="S157" s="66"/>
      <c r="T157" s="70">
        <v>1</v>
      </c>
      <c r="U157" s="71" t="s">
        <v>75</v>
      </c>
    </row>
    <row r="158" spans="1:21" ht="13.8" hidden="1">
      <c r="A158" s="106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72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73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75</v>
      </c>
    </row>
    <row r="159" spans="1:21" ht="13.8" hidden="1">
      <c r="A159" s="106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81</v>
      </c>
      <c r="G159" s="66" t="s">
        <v>77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73</v>
      </c>
      <c r="O159" s="71" t="s">
        <v>50</v>
      </c>
      <c r="P159" s="66">
        <v>2024</v>
      </c>
      <c r="Q159" s="66" t="s">
        <v>74</v>
      </c>
      <c r="R159" s="66"/>
      <c r="S159" s="66"/>
      <c r="T159" s="80">
        <v>1</v>
      </c>
      <c r="U159" s="71" t="s">
        <v>69</v>
      </c>
    </row>
    <row r="160" spans="1:21" ht="55.2" hidden="1">
      <c r="A160" s="106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84" t="s">
        <v>37</v>
      </c>
      <c r="R160" s="87"/>
      <c r="S160" s="89"/>
      <c r="T160" s="80">
        <v>0.4</v>
      </c>
      <c r="U160" s="71"/>
    </row>
    <row r="161" spans="1:21" ht="27.6" hidden="1">
      <c r="A161" s="106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36</v>
      </c>
      <c r="O161" s="2" t="s">
        <v>44</v>
      </c>
      <c r="P161" s="66">
        <v>2025</v>
      </c>
      <c r="Q161" s="66" t="s">
        <v>37</v>
      </c>
      <c r="R161" s="66"/>
      <c r="S161" s="66"/>
      <c r="T161" s="80">
        <v>0.98</v>
      </c>
      <c r="U161" s="71"/>
    </row>
    <row r="162" spans="1:21" ht="13.8" hidden="1">
      <c r="A162" s="106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 hidden="1">
      <c r="A163" s="106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77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73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75</v>
      </c>
    </row>
    <row r="164" spans="1:21" ht="27.75" hidden="1" customHeight="1">
      <c r="A164" s="102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97</v>
      </c>
      <c r="P164" s="66">
        <v>2025</v>
      </c>
      <c r="Q164" s="84" t="s">
        <v>37</v>
      </c>
      <c r="R164" s="87"/>
      <c r="S164" s="89"/>
      <c r="T164" s="80"/>
      <c r="U164" s="66" t="s">
        <v>154</v>
      </c>
    </row>
    <row r="165" spans="1:21" ht="37.950000000000003" hidden="1" customHeight="1">
      <c r="A165" s="106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97</v>
      </c>
      <c r="P165" s="66">
        <v>2025</v>
      </c>
      <c r="Q165" s="84" t="s">
        <v>37</v>
      </c>
      <c r="R165" s="87"/>
      <c r="S165" s="89"/>
      <c r="T165" s="80"/>
      <c r="U165" s="66" t="s">
        <v>154</v>
      </c>
    </row>
    <row r="166" spans="1:21" ht="13.8" hidden="1">
      <c r="A166" s="102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81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74</v>
      </c>
      <c r="R166" s="66"/>
      <c r="S166" s="66"/>
      <c r="T166" s="70">
        <v>1</v>
      </c>
      <c r="U166" s="66" t="s">
        <v>75</v>
      </c>
    </row>
    <row r="167" spans="1:21" ht="13.8" hidden="1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89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37</v>
      </c>
      <c r="R167" s="66"/>
      <c r="S167" s="66"/>
      <c r="T167" s="70">
        <v>0.5</v>
      </c>
      <c r="U167" s="71"/>
    </row>
    <row r="168" spans="1:21" ht="27.6" hidden="1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89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73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 hidden="1">
      <c r="A169" s="107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37</v>
      </c>
      <c r="R169" s="66"/>
      <c r="S169" s="66"/>
      <c r="T169" s="70">
        <v>0.87</v>
      </c>
      <c r="U169" s="71" t="s">
        <v>136</v>
      </c>
    </row>
    <row r="170" spans="1:21" ht="45" hidden="1" customHeight="1">
      <c r="A170" s="108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69</v>
      </c>
    </row>
    <row r="171" spans="1:21" ht="37.200000000000003" hidden="1" customHeight="1">
      <c r="A171" s="108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79</v>
      </c>
      <c r="P171" s="66">
        <v>2024</v>
      </c>
      <c r="Q171" s="66" t="s">
        <v>37</v>
      </c>
      <c r="R171" s="66"/>
      <c r="S171" s="66"/>
      <c r="T171" s="80">
        <v>0.87</v>
      </c>
      <c r="U171" s="71" t="s">
        <v>136</v>
      </c>
    </row>
    <row r="172" spans="1:21" ht="13.8" hidden="1">
      <c r="A172" s="108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75</v>
      </c>
    </row>
    <row r="173" spans="1:21" ht="13.8" hidden="1">
      <c r="A173" s="109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81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73</v>
      </c>
      <c r="O173" s="71" t="s">
        <v>50</v>
      </c>
      <c r="P173" s="66">
        <v>2024</v>
      </c>
      <c r="Q173" s="66" t="s">
        <v>74</v>
      </c>
      <c r="R173" s="66"/>
      <c r="S173" s="66"/>
      <c r="T173" s="70">
        <v>1</v>
      </c>
      <c r="U173" s="66" t="s">
        <v>69</v>
      </c>
    </row>
    <row r="174" spans="1:21" ht="40.200000000000003" hidden="1" customHeight="1">
      <c r="A174" s="95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37</v>
      </c>
      <c r="R174" s="87"/>
      <c r="S174" s="89"/>
      <c r="T174" s="80"/>
      <c r="U174" s="76" t="s">
        <v>60</v>
      </c>
    </row>
    <row r="175" spans="1:21" ht="13.8" hidden="1">
      <c r="A175" s="95"/>
      <c r="B175" s="71" t="s">
        <v>458</v>
      </c>
      <c r="C175" s="66" t="s">
        <v>22</v>
      </c>
      <c r="D175" s="66" t="s">
        <v>41</v>
      </c>
      <c r="E175" s="81" t="s">
        <v>461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73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69</v>
      </c>
    </row>
    <row r="176" spans="1:21" ht="13.8" hidden="1">
      <c r="A176" s="95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76</v>
      </c>
      <c r="G176" s="66" t="s">
        <v>462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36</v>
      </c>
      <c r="O176" s="2" t="s">
        <v>44</v>
      </c>
      <c r="P176" s="66">
        <v>2025</v>
      </c>
      <c r="Q176" s="66" t="s">
        <v>37</v>
      </c>
      <c r="R176" s="66"/>
      <c r="S176" s="66"/>
      <c r="T176" s="80">
        <v>0.26</v>
      </c>
      <c r="U176" s="71"/>
    </row>
    <row r="177" spans="1:21" ht="13.8" hidden="1">
      <c r="A177" s="95"/>
      <c r="B177" s="71" t="s">
        <v>458</v>
      </c>
      <c r="C177" s="66" t="s">
        <v>22</v>
      </c>
      <c r="D177" s="66" t="s">
        <v>41</v>
      </c>
      <c r="E177" s="81" t="s">
        <v>463</v>
      </c>
      <c r="F177" s="71" t="s">
        <v>464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74</v>
      </c>
      <c r="R177" s="66"/>
      <c r="S177" s="66"/>
      <c r="T177" s="80">
        <v>1</v>
      </c>
      <c r="U177" s="71" t="s">
        <v>69</v>
      </c>
    </row>
    <row r="178" spans="1:21" ht="27.6" hidden="1">
      <c r="A178" s="95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465</v>
      </c>
      <c r="H178" s="71" t="s">
        <v>465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74</v>
      </c>
      <c r="R178" s="66"/>
      <c r="S178" s="66"/>
      <c r="T178" s="80">
        <v>1</v>
      </c>
      <c r="U178" s="71"/>
    </row>
    <row r="179" spans="1:21" ht="13.8" hidden="1">
      <c r="A179" s="95"/>
      <c r="B179" s="71" t="s">
        <v>466</v>
      </c>
      <c r="C179" s="66" t="s">
        <v>22</v>
      </c>
      <c r="D179" s="66" t="s">
        <v>41</v>
      </c>
      <c r="E179" s="81" t="s">
        <v>467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73</v>
      </c>
      <c r="O179" s="71" t="s">
        <v>50</v>
      </c>
      <c r="P179" s="66">
        <v>2025</v>
      </c>
      <c r="Q179" s="66" t="s">
        <v>74</v>
      </c>
      <c r="R179" s="66"/>
      <c r="S179" s="66"/>
      <c r="T179" s="80">
        <v>1</v>
      </c>
      <c r="U179" s="71" t="s">
        <v>75</v>
      </c>
    </row>
    <row r="180" spans="1:21" ht="13.8" hidden="1">
      <c r="A180" s="95"/>
      <c r="B180" s="71" t="s">
        <v>468</v>
      </c>
      <c r="C180" s="66" t="s">
        <v>22</v>
      </c>
      <c r="D180" s="66" t="s">
        <v>41</v>
      </c>
      <c r="E180" s="81" t="s">
        <v>469</v>
      </c>
      <c r="F180" s="71" t="s">
        <v>265</v>
      </c>
      <c r="G180" s="66" t="s">
        <v>77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73</v>
      </c>
      <c r="O180" s="71" t="s">
        <v>50</v>
      </c>
      <c r="P180" s="66">
        <v>2025</v>
      </c>
      <c r="Q180" s="66" t="s">
        <v>470</v>
      </c>
      <c r="R180" s="66"/>
      <c r="S180" s="66"/>
      <c r="T180" s="70">
        <v>0.95</v>
      </c>
      <c r="U180" s="66"/>
    </row>
    <row r="181" spans="1:21" ht="13.8" hidden="1">
      <c r="A181" s="75"/>
      <c r="B181" s="71" t="s">
        <v>471</v>
      </c>
      <c r="C181" s="66" t="s">
        <v>22</v>
      </c>
      <c r="D181" s="66" t="s">
        <v>41</v>
      </c>
      <c r="E181" s="81">
        <v>4600016135</v>
      </c>
      <c r="F181" s="71" t="s">
        <v>472</v>
      </c>
      <c r="G181" s="66" t="s">
        <v>473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69</v>
      </c>
      <c r="R181" s="66"/>
      <c r="S181" s="66"/>
      <c r="T181" s="70">
        <v>1</v>
      </c>
      <c r="U181" s="66"/>
    </row>
    <row r="182" spans="1:21" ht="39.6" hidden="1" customHeight="1">
      <c r="A182" s="75"/>
      <c r="B182" s="71" t="s">
        <v>471</v>
      </c>
      <c r="C182" s="66" t="s">
        <v>22</v>
      </c>
      <c r="D182" s="66" t="s">
        <v>41</v>
      </c>
      <c r="E182" s="81">
        <v>4600015848</v>
      </c>
      <c r="F182" s="71" t="s">
        <v>474</v>
      </c>
      <c r="G182" s="66" t="s">
        <v>473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475</v>
      </c>
      <c r="N182" s="71" t="s">
        <v>476</v>
      </c>
      <c r="O182" s="71" t="s">
        <v>339</v>
      </c>
      <c r="P182" s="66">
        <v>2019</v>
      </c>
      <c r="Q182" s="66" t="s">
        <v>69</v>
      </c>
      <c r="R182" s="66"/>
      <c r="S182" s="66"/>
      <c r="T182" s="70">
        <v>1</v>
      </c>
      <c r="U182" s="66"/>
    </row>
    <row r="183" spans="1:21" ht="61.2" hidden="1" customHeight="1">
      <c r="A183" s="110">
        <v>46</v>
      </c>
      <c r="B183" s="71" t="s">
        <v>471</v>
      </c>
      <c r="C183" s="66" t="s">
        <v>22</v>
      </c>
      <c r="D183" s="66" t="s">
        <v>41</v>
      </c>
      <c r="E183" s="81">
        <v>4600018625</v>
      </c>
      <c r="F183" s="71" t="s">
        <v>477</v>
      </c>
      <c r="G183" s="79" t="s">
        <v>478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37</v>
      </c>
      <c r="R183" s="66"/>
      <c r="S183" s="66"/>
      <c r="T183" s="70"/>
      <c r="U183" s="71" t="s">
        <v>37</v>
      </c>
    </row>
    <row r="184" spans="1:21" ht="61.2" hidden="1" customHeight="1">
      <c r="A184" s="110"/>
      <c r="B184" s="71" t="s">
        <v>471</v>
      </c>
      <c r="C184" s="66" t="s">
        <v>22</v>
      </c>
      <c r="D184" s="66" t="s">
        <v>41</v>
      </c>
      <c r="E184" s="81">
        <v>2025003050052</v>
      </c>
      <c r="F184" s="71" t="s">
        <v>479</v>
      </c>
      <c r="G184" s="69" t="s">
        <v>480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36</v>
      </c>
      <c r="O184" s="71" t="s">
        <v>79</v>
      </c>
      <c r="P184" s="66">
        <v>2026</v>
      </c>
      <c r="Q184" s="66" t="s">
        <v>30</v>
      </c>
      <c r="R184" s="66"/>
      <c r="S184" s="66"/>
      <c r="T184" s="70"/>
      <c r="U184" s="71" t="s">
        <v>481</v>
      </c>
    </row>
    <row r="185" spans="1:21" ht="13.8" hidden="1">
      <c r="A185" s="110"/>
      <c r="B185" s="71" t="s">
        <v>471</v>
      </c>
      <c r="C185" s="66" t="s">
        <v>22</v>
      </c>
      <c r="D185" s="66" t="s">
        <v>41</v>
      </c>
      <c r="E185" s="81" t="s">
        <v>482</v>
      </c>
      <c r="F185" s="71" t="s">
        <v>81</v>
      </c>
      <c r="G185" s="66" t="s">
        <v>77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73</v>
      </c>
      <c r="O185" s="71" t="s">
        <v>50</v>
      </c>
      <c r="P185" s="66">
        <v>2024</v>
      </c>
      <c r="Q185" s="66" t="s">
        <v>74</v>
      </c>
      <c r="R185" s="66"/>
      <c r="S185" s="66"/>
      <c r="T185" s="80">
        <v>1</v>
      </c>
      <c r="U185" s="71" t="s">
        <v>75</v>
      </c>
    </row>
    <row r="186" spans="1:21" ht="13.8" hidden="1">
      <c r="A186" s="72"/>
      <c r="B186" s="71" t="s">
        <v>483</v>
      </c>
      <c r="C186" s="66" t="s">
        <v>22</v>
      </c>
      <c r="D186" s="66" t="s">
        <v>131</v>
      </c>
      <c r="E186" s="81"/>
      <c r="F186" s="71" t="s">
        <v>451</v>
      </c>
      <c r="G186" s="66" t="s">
        <v>484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79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69</v>
      </c>
    </row>
    <row r="187" spans="1:21" ht="13.8" hidden="1">
      <c r="A187" s="108"/>
      <c r="B187" s="71" t="s">
        <v>483</v>
      </c>
      <c r="C187" s="66" t="s">
        <v>22</v>
      </c>
      <c r="D187" s="66"/>
      <c r="E187" s="81"/>
      <c r="F187" s="71" t="s">
        <v>485</v>
      </c>
      <c r="G187" s="66" t="s">
        <v>486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 hidden="1">
      <c r="A188" s="108"/>
      <c r="B188" s="71" t="s">
        <v>483</v>
      </c>
      <c r="C188" s="66" t="s">
        <v>22</v>
      </c>
      <c r="D188" s="66" t="s">
        <v>41</v>
      </c>
      <c r="E188" s="81">
        <v>2026003050009</v>
      </c>
      <c r="F188" s="71" t="s">
        <v>76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36</v>
      </c>
      <c r="O188" s="71" t="s">
        <v>135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hidden="1" customHeight="1">
      <c r="A189" s="109"/>
      <c r="B189" s="71" t="s">
        <v>483</v>
      </c>
      <c r="C189" s="66" t="s">
        <v>22</v>
      </c>
      <c r="D189" s="66" t="s">
        <v>487</v>
      </c>
      <c r="E189" s="81"/>
      <c r="F189" s="71" t="s">
        <v>488</v>
      </c>
      <c r="G189" s="66" t="s">
        <v>489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487</v>
      </c>
      <c r="P189" s="66">
        <v>2025</v>
      </c>
      <c r="Q189" s="66" t="s">
        <v>37</v>
      </c>
      <c r="R189" s="66"/>
      <c r="S189" s="66"/>
      <c r="T189" s="66"/>
      <c r="U189" s="71" t="s">
        <v>37</v>
      </c>
    </row>
    <row r="190" spans="1:21" ht="81" hidden="1" customHeight="1">
      <c r="A190" s="66"/>
      <c r="B190" s="71" t="s">
        <v>490</v>
      </c>
      <c r="C190" s="66" t="s">
        <v>149</v>
      </c>
      <c r="D190" s="66" t="s">
        <v>23</v>
      </c>
      <c r="E190" s="81" t="s">
        <v>491</v>
      </c>
      <c r="F190" s="71" t="s">
        <v>492</v>
      </c>
      <c r="G190" s="71" t="s">
        <v>493</v>
      </c>
      <c r="H190" s="71" t="s">
        <v>494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495</v>
      </c>
      <c r="O190" s="71" t="s">
        <v>97</v>
      </c>
      <c r="P190" s="66">
        <v>2023</v>
      </c>
      <c r="Q190" s="66"/>
      <c r="R190" s="66"/>
      <c r="S190" s="66"/>
      <c r="T190" s="40">
        <v>0.98</v>
      </c>
      <c r="U190" s="71" t="s">
        <v>37</v>
      </c>
    </row>
    <row r="191" spans="1:21" ht="64.95" hidden="1" customHeight="1">
      <c r="A191" s="95">
        <v>48</v>
      </c>
      <c r="B191" s="71" t="s">
        <v>490</v>
      </c>
      <c r="C191" s="66" t="s">
        <v>149</v>
      </c>
      <c r="D191" s="66" t="s">
        <v>23</v>
      </c>
      <c r="E191" s="81"/>
      <c r="F191" s="71" t="s">
        <v>101</v>
      </c>
      <c r="G191" s="71" t="s">
        <v>496</v>
      </c>
      <c r="H191" s="71" t="s">
        <v>497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97</v>
      </c>
      <c r="P191" s="66">
        <v>2025</v>
      </c>
      <c r="Q191" s="84" t="s">
        <v>37</v>
      </c>
      <c r="R191" s="87"/>
      <c r="S191" s="89"/>
      <c r="T191" s="80"/>
      <c r="U191" s="66" t="s">
        <v>154</v>
      </c>
    </row>
    <row r="192" spans="1:21" ht="81.599999999999994" hidden="1" customHeight="1">
      <c r="A192" s="95"/>
      <c r="B192" s="71" t="s">
        <v>490</v>
      </c>
      <c r="C192" s="66" t="s">
        <v>149</v>
      </c>
      <c r="D192" s="66" t="s">
        <v>41</v>
      </c>
      <c r="E192" s="81"/>
      <c r="F192" s="71" t="s">
        <v>498</v>
      </c>
      <c r="G192" s="66" t="s">
        <v>499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74</v>
      </c>
      <c r="R192" s="66"/>
      <c r="S192" s="66"/>
      <c r="T192" s="70"/>
      <c r="U192" s="71" t="s">
        <v>343</v>
      </c>
    </row>
    <row r="193" spans="1:21" ht="13.8" hidden="1">
      <c r="A193" s="95"/>
      <c r="B193" s="71" t="s">
        <v>490</v>
      </c>
      <c r="C193" s="66" t="s">
        <v>149</v>
      </c>
      <c r="D193" s="66" t="s">
        <v>41</v>
      </c>
      <c r="E193" s="81">
        <v>2024003050242</v>
      </c>
      <c r="F193" s="71" t="s">
        <v>500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36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69</v>
      </c>
    </row>
    <row r="194" spans="1:21" ht="13.8" hidden="1">
      <c r="A194" s="66">
        <v>49</v>
      </c>
      <c r="B194" s="71" t="s">
        <v>501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 hidden="1">
      <c r="A195" s="106"/>
      <c r="B195" s="71" t="s">
        <v>502</v>
      </c>
      <c r="C195" s="66" t="s">
        <v>84</v>
      </c>
      <c r="D195" s="66" t="s">
        <v>23</v>
      </c>
      <c r="E195" s="81">
        <v>4600017762</v>
      </c>
      <c r="F195" s="71" t="s">
        <v>208</v>
      </c>
      <c r="G195" s="66" t="s">
        <v>503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82</v>
      </c>
    </row>
    <row r="196" spans="1:21" ht="24.6" hidden="1" customHeight="1">
      <c r="A196" s="102"/>
      <c r="B196" s="71" t="s">
        <v>502</v>
      </c>
      <c r="C196" s="66" t="s">
        <v>84</v>
      </c>
      <c r="D196" s="66" t="s">
        <v>41</v>
      </c>
      <c r="E196" s="81" t="s">
        <v>504</v>
      </c>
      <c r="F196" s="71" t="s">
        <v>81</v>
      </c>
      <c r="G196" s="66" t="s">
        <v>505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73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37</v>
      </c>
    </row>
    <row r="197" spans="1:21" ht="13.8" hidden="1">
      <c r="A197" s="95">
        <v>51</v>
      </c>
      <c r="B197" s="71" t="s">
        <v>506</v>
      </c>
      <c r="C197" s="66" t="s">
        <v>40</v>
      </c>
      <c r="D197" s="66" t="s">
        <v>23</v>
      </c>
      <c r="E197" s="81"/>
      <c r="F197" s="71" t="s">
        <v>436</v>
      </c>
      <c r="G197" s="66" t="s">
        <v>507</v>
      </c>
      <c r="H197" s="66" t="s">
        <v>508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97</v>
      </c>
      <c r="P197" s="66">
        <v>2025</v>
      </c>
      <c r="Q197" s="84" t="s">
        <v>37</v>
      </c>
      <c r="R197" s="87"/>
      <c r="S197" s="89"/>
      <c r="T197" s="80"/>
      <c r="U197" s="66" t="s">
        <v>154</v>
      </c>
    </row>
    <row r="198" spans="1:21" ht="13.8" hidden="1">
      <c r="A198" s="95"/>
      <c r="B198" s="71" t="s">
        <v>506</v>
      </c>
      <c r="C198" s="66" t="s">
        <v>40</v>
      </c>
      <c r="D198" s="66" t="s">
        <v>41</v>
      </c>
      <c r="E198" s="81" t="s">
        <v>509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73</v>
      </c>
      <c r="O198" s="71" t="s">
        <v>50</v>
      </c>
      <c r="P198" s="66">
        <v>2025</v>
      </c>
      <c r="Q198" s="66" t="s">
        <v>74</v>
      </c>
      <c r="R198" s="66"/>
      <c r="S198" s="66"/>
      <c r="T198" s="70">
        <v>1</v>
      </c>
      <c r="U198" s="66" t="s">
        <v>37</v>
      </c>
    </row>
    <row r="199" spans="1:21" ht="13.8" hidden="1">
      <c r="A199" s="95"/>
      <c r="B199" s="71" t="s">
        <v>506</v>
      </c>
      <c r="C199" s="66" t="s">
        <v>40</v>
      </c>
      <c r="D199" s="66" t="s">
        <v>41</v>
      </c>
      <c r="E199" s="81" t="s">
        <v>510</v>
      </c>
      <c r="F199" s="71" t="s">
        <v>511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512</v>
      </c>
      <c r="R199" s="66"/>
      <c r="S199" s="66"/>
      <c r="T199" s="70">
        <v>1</v>
      </c>
      <c r="U199" s="66" t="s">
        <v>75</v>
      </c>
    </row>
    <row r="200" spans="1:21" ht="40.950000000000003" hidden="1" customHeight="1">
      <c r="A200" s="95"/>
      <c r="B200" s="71" t="s">
        <v>506</v>
      </c>
      <c r="C200" s="66" t="s">
        <v>40</v>
      </c>
      <c r="D200" s="66" t="s">
        <v>41</v>
      </c>
      <c r="E200" s="81" t="s">
        <v>146</v>
      </c>
      <c r="F200" s="71" t="s">
        <v>81</v>
      </c>
      <c r="G200" s="66" t="s">
        <v>77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74</v>
      </c>
      <c r="R200" s="66"/>
      <c r="S200" s="66"/>
      <c r="T200" s="70">
        <v>1</v>
      </c>
      <c r="U200" s="66" t="s">
        <v>75</v>
      </c>
    </row>
    <row r="201" spans="1:21" ht="40.950000000000003" hidden="1" customHeight="1">
      <c r="A201" s="66"/>
      <c r="B201" s="71" t="s">
        <v>513</v>
      </c>
      <c r="C201" s="66" t="s">
        <v>40</v>
      </c>
      <c r="D201" s="66" t="s">
        <v>41</v>
      </c>
      <c r="E201" s="81" t="s">
        <v>514</v>
      </c>
      <c r="F201" s="71" t="s">
        <v>76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73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37</v>
      </c>
    </row>
    <row r="202" spans="1:21" ht="40.950000000000003" hidden="1" customHeight="1">
      <c r="A202" s="66"/>
      <c r="B202" s="71" t="s">
        <v>513</v>
      </c>
      <c r="C202" s="66" t="s">
        <v>40</v>
      </c>
      <c r="D202" s="66"/>
      <c r="E202" s="81" t="s">
        <v>62</v>
      </c>
      <c r="F202" s="71" t="s">
        <v>515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 hidden="1">
      <c r="A203" s="66">
        <v>52</v>
      </c>
      <c r="B203" s="71" t="s">
        <v>513</v>
      </c>
      <c r="C203" s="66" t="s">
        <v>40</v>
      </c>
      <c r="D203" s="66" t="s">
        <v>41</v>
      </c>
      <c r="E203" s="81">
        <v>2024003050236</v>
      </c>
      <c r="F203" s="71" t="s">
        <v>516</v>
      </c>
      <c r="G203" s="66" t="s">
        <v>517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36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69</v>
      </c>
    </row>
    <row r="204" spans="1:21" ht="40.950000000000003" hidden="1" customHeight="1">
      <c r="A204" s="95">
        <v>53</v>
      </c>
      <c r="B204" s="71" t="s">
        <v>518</v>
      </c>
      <c r="C204" s="66" t="s">
        <v>224</v>
      </c>
      <c r="D204" s="66" t="s">
        <v>41</v>
      </c>
      <c r="E204" s="81" t="s">
        <v>146</v>
      </c>
      <c r="F204" s="71" t="s">
        <v>81</v>
      </c>
      <c r="G204" s="66" t="s">
        <v>77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74</v>
      </c>
      <c r="R204" s="66"/>
      <c r="S204" s="66"/>
      <c r="T204" s="80">
        <v>1</v>
      </c>
      <c r="U204" s="71" t="s">
        <v>75</v>
      </c>
    </row>
    <row r="205" spans="1:21" ht="55.2" hidden="1">
      <c r="A205" s="95"/>
      <c r="B205" s="71" t="s">
        <v>518</v>
      </c>
      <c r="C205" s="66" t="s">
        <v>224</v>
      </c>
      <c r="D205" s="66" t="s">
        <v>41</v>
      </c>
      <c r="E205" s="81">
        <v>2021003050081</v>
      </c>
      <c r="F205" s="71" t="s">
        <v>519</v>
      </c>
      <c r="G205" s="66" t="s">
        <v>520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36</v>
      </c>
      <c r="O205" s="71" t="s">
        <v>44</v>
      </c>
      <c r="P205" s="66">
        <v>2021</v>
      </c>
      <c r="Q205" s="66" t="s">
        <v>37</v>
      </c>
      <c r="R205" s="66"/>
      <c r="S205" s="66"/>
      <c r="T205" s="80">
        <v>0.69540000000000002</v>
      </c>
      <c r="U205" s="71" t="s">
        <v>521</v>
      </c>
    </row>
    <row r="206" spans="1:21" ht="13.8" hidden="1">
      <c r="A206" s="95"/>
      <c r="B206" s="66" t="s">
        <v>522</v>
      </c>
      <c r="C206" s="66" t="s">
        <v>224</v>
      </c>
      <c r="D206" s="66" t="s">
        <v>41</v>
      </c>
      <c r="E206" s="81" t="s">
        <v>523</v>
      </c>
      <c r="F206" s="71" t="s">
        <v>81</v>
      </c>
      <c r="G206" s="66" t="s">
        <v>524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73</v>
      </c>
      <c r="O206" s="71" t="s">
        <v>50</v>
      </c>
      <c r="P206" s="66">
        <v>2024</v>
      </c>
      <c r="Q206" s="66" t="s">
        <v>37</v>
      </c>
      <c r="R206" s="66"/>
      <c r="S206" s="66"/>
      <c r="T206" s="70">
        <v>1</v>
      </c>
      <c r="U206" s="66" t="s">
        <v>37</v>
      </c>
    </row>
    <row r="207" spans="1:21" ht="13.8" hidden="1">
      <c r="A207" s="95">
        <v>54</v>
      </c>
      <c r="B207" s="71" t="s">
        <v>525</v>
      </c>
      <c r="C207" s="66" t="s">
        <v>149</v>
      </c>
      <c r="D207" s="66" t="s">
        <v>41</v>
      </c>
      <c r="E207" s="81" t="s">
        <v>526</v>
      </c>
      <c r="F207" s="71" t="s">
        <v>81</v>
      </c>
      <c r="G207" s="66" t="s">
        <v>77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73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75</v>
      </c>
    </row>
    <row r="208" spans="1:21" ht="13.8" hidden="1">
      <c r="A208" s="95"/>
      <c r="B208" s="71" t="s">
        <v>525</v>
      </c>
      <c r="C208" s="66" t="s">
        <v>149</v>
      </c>
      <c r="D208" s="66" t="s">
        <v>41</v>
      </c>
      <c r="E208" s="81">
        <v>2025003050015</v>
      </c>
      <c r="F208" s="71" t="s">
        <v>76</v>
      </c>
      <c r="G208" s="66" t="s">
        <v>527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36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37</v>
      </c>
    </row>
    <row r="209" spans="1:21" ht="32.4" hidden="1" customHeight="1">
      <c r="A209" s="95">
        <v>55</v>
      </c>
      <c r="B209" s="71" t="s">
        <v>528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529</v>
      </c>
      <c r="H209" s="71" t="s">
        <v>530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37</v>
      </c>
      <c r="R209" s="87"/>
      <c r="S209" s="89"/>
      <c r="T209" s="80"/>
      <c r="U209" s="76" t="s">
        <v>60</v>
      </c>
    </row>
    <row r="210" spans="1:21" ht="13.8" hidden="1">
      <c r="A210" s="95"/>
      <c r="B210" s="71" t="s">
        <v>528</v>
      </c>
      <c r="C210" s="66" t="s">
        <v>22</v>
      </c>
      <c r="D210" s="66" t="s">
        <v>41</v>
      </c>
      <c r="E210" s="81">
        <v>2025003050026</v>
      </c>
      <c r="F210" s="71" t="s">
        <v>531</v>
      </c>
      <c r="G210" s="66" t="s">
        <v>532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36</v>
      </c>
      <c r="O210" s="2" t="s">
        <v>44</v>
      </c>
      <c r="P210" s="66">
        <v>2025</v>
      </c>
      <c r="Q210" s="66" t="s">
        <v>37</v>
      </c>
      <c r="R210" s="66"/>
      <c r="S210" s="66"/>
      <c r="T210" s="80">
        <v>0.57999999999999996</v>
      </c>
      <c r="U210" s="71"/>
    </row>
    <row r="211" spans="1:21" ht="16.2" hidden="1" customHeight="1">
      <c r="A211" s="95"/>
      <c r="B211" s="71" t="s">
        <v>528</v>
      </c>
      <c r="C211" s="66" t="s">
        <v>22</v>
      </c>
      <c r="D211" s="66" t="s">
        <v>41</v>
      </c>
      <c r="E211" s="81" t="s">
        <v>533</v>
      </c>
      <c r="F211" s="71" t="s">
        <v>81</v>
      </c>
      <c r="G211" s="66" t="s">
        <v>534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73</v>
      </c>
      <c r="O211" s="71" t="s">
        <v>50</v>
      </c>
      <c r="P211" s="66">
        <v>2024</v>
      </c>
      <c r="Q211" s="66" t="s">
        <v>74</v>
      </c>
      <c r="R211" s="66"/>
      <c r="S211" s="66"/>
      <c r="T211" s="70">
        <v>1</v>
      </c>
      <c r="U211" s="66"/>
    </row>
    <row r="212" spans="1:21" ht="80.400000000000006" hidden="1" customHeight="1">
      <c r="A212" s="95">
        <v>56</v>
      </c>
      <c r="B212" s="71" t="s">
        <v>525</v>
      </c>
      <c r="C212" s="66" t="s">
        <v>149</v>
      </c>
      <c r="D212" s="66" t="s">
        <v>23</v>
      </c>
      <c r="E212" s="81"/>
      <c r="F212" s="71" t="s">
        <v>101</v>
      </c>
      <c r="G212" s="71" t="s">
        <v>535</v>
      </c>
      <c r="H212" s="71" t="s">
        <v>536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97</v>
      </c>
      <c r="P212" s="66">
        <v>2025</v>
      </c>
      <c r="Q212" s="84" t="s">
        <v>37</v>
      </c>
      <c r="R212" s="87"/>
      <c r="S212" s="89"/>
      <c r="T212" s="80"/>
      <c r="U212" s="66" t="s">
        <v>154</v>
      </c>
    </row>
    <row r="213" spans="1:21" ht="13.8" hidden="1">
      <c r="A213" s="95"/>
      <c r="B213" s="71" t="s">
        <v>537</v>
      </c>
      <c r="C213" s="66" t="s">
        <v>149</v>
      </c>
      <c r="D213" s="66" t="s">
        <v>41</v>
      </c>
      <c r="E213" s="81">
        <v>2024053150037</v>
      </c>
      <c r="F213" s="71" t="s">
        <v>76</v>
      </c>
      <c r="G213" s="66" t="s">
        <v>538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36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 hidden="1">
      <c r="A214" s="107">
        <v>57</v>
      </c>
      <c r="B214" s="71" t="s">
        <v>539</v>
      </c>
      <c r="C214" s="66" t="s">
        <v>22</v>
      </c>
      <c r="D214" s="66" t="s">
        <v>23</v>
      </c>
      <c r="E214" s="81"/>
      <c r="F214" s="71" t="s">
        <v>540</v>
      </c>
      <c r="G214" s="71" t="s">
        <v>541</v>
      </c>
      <c r="H214" s="71" t="s">
        <v>541</v>
      </c>
      <c r="I214" s="71"/>
      <c r="J214" s="71"/>
      <c r="K214" s="69">
        <v>0</v>
      </c>
      <c r="L214" s="69">
        <v>0</v>
      </c>
      <c r="M214" s="69">
        <v>0</v>
      </c>
      <c r="N214" s="2" t="s">
        <v>62</v>
      </c>
      <c r="O214" s="2" t="s">
        <v>50</v>
      </c>
      <c r="P214" s="66">
        <v>2025</v>
      </c>
      <c r="Q214" s="66" t="s">
        <v>37</v>
      </c>
      <c r="R214" s="66"/>
      <c r="S214" s="66"/>
      <c r="T214" s="80">
        <v>0.9</v>
      </c>
      <c r="U214" s="71" t="s">
        <v>37</v>
      </c>
    </row>
    <row r="215" spans="1:21" ht="13.8" hidden="1">
      <c r="A215" s="108"/>
      <c r="B215" s="71" t="s">
        <v>539</v>
      </c>
      <c r="C215" s="66" t="s">
        <v>22</v>
      </c>
      <c r="D215" s="66" t="s">
        <v>41</v>
      </c>
      <c r="E215" s="81" t="s">
        <v>542</v>
      </c>
      <c r="F215" s="71" t="s">
        <v>543</v>
      </c>
      <c r="G215" s="71" t="s">
        <v>544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75</v>
      </c>
    </row>
    <row r="216" spans="1:21" ht="13.8" hidden="1">
      <c r="A216" s="108"/>
      <c r="B216" s="71" t="s">
        <v>539</v>
      </c>
      <c r="C216" s="66" t="s">
        <v>22</v>
      </c>
      <c r="D216" s="66" t="s">
        <v>41</v>
      </c>
      <c r="E216" s="81" t="s">
        <v>545</v>
      </c>
      <c r="F216" s="71" t="s">
        <v>546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37</v>
      </c>
      <c r="R216" s="66"/>
      <c r="S216" s="66"/>
      <c r="T216" s="80">
        <v>0.43</v>
      </c>
      <c r="U216" s="71" t="s">
        <v>343</v>
      </c>
    </row>
    <row r="217" spans="1:21" ht="41.4" hidden="1">
      <c r="A217" s="106"/>
      <c r="B217" s="71" t="s">
        <v>539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547</v>
      </c>
      <c r="H217" s="71" t="s">
        <v>548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84" t="s">
        <v>37</v>
      </c>
      <c r="R217" s="87"/>
      <c r="S217" s="89"/>
      <c r="T217" s="80">
        <v>0.01</v>
      </c>
      <c r="U217" s="76" t="s">
        <v>1071</v>
      </c>
    </row>
    <row r="218" spans="1:21" ht="13.8" hidden="1">
      <c r="A218" s="109"/>
      <c r="B218" s="71" t="s">
        <v>539</v>
      </c>
      <c r="C218" s="66" t="s">
        <v>22</v>
      </c>
      <c r="D218" s="66" t="s">
        <v>41</v>
      </c>
      <c r="E218" s="81" t="s">
        <v>549</v>
      </c>
      <c r="F218" s="71" t="s">
        <v>81</v>
      </c>
      <c r="G218" s="66" t="s">
        <v>77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73</v>
      </c>
      <c r="O218" s="66" t="s">
        <v>50</v>
      </c>
      <c r="P218" s="66">
        <v>2024</v>
      </c>
      <c r="Q218" s="66" t="s">
        <v>74</v>
      </c>
      <c r="R218" s="66"/>
      <c r="S218" s="66"/>
      <c r="T218" s="70">
        <v>1</v>
      </c>
      <c r="U218" s="66" t="s">
        <v>82</v>
      </c>
    </row>
    <row r="219" spans="1:21" ht="13.8" hidden="1">
      <c r="A219" s="74"/>
      <c r="B219" s="71" t="s">
        <v>550</v>
      </c>
      <c r="C219" s="66" t="s">
        <v>22</v>
      </c>
      <c r="D219" s="66" t="s">
        <v>41</v>
      </c>
      <c r="E219" s="81" t="s">
        <v>551</v>
      </c>
      <c r="F219" s="71" t="s">
        <v>552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74</v>
      </c>
      <c r="R219" s="66"/>
      <c r="S219" s="66"/>
      <c r="T219" s="70">
        <v>1</v>
      </c>
      <c r="U219" s="66" t="s">
        <v>75</v>
      </c>
    </row>
    <row r="220" spans="1:21" ht="13.8" hidden="1">
      <c r="A220" s="74"/>
      <c r="B220" s="71" t="s">
        <v>550</v>
      </c>
      <c r="C220" s="66" t="s">
        <v>22</v>
      </c>
      <c r="D220" s="66" t="s">
        <v>41</v>
      </c>
      <c r="E220" s="81" t="s">
        <v>553</v>
      </c>
      <c r="F220" s="71" t="s">
        <v>554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74</v>
      </c>
      <c r="R220" s="66"/>
      <c r="S220" s="66"/>
      <c r="T220" s="70">
        <v>1</v>
      </c>
      <c r="U220" s="66" t="s">
        <v>75</v>
      </c>
    </row>
    <row r="221" spans="1:21" ht="13.8" hidden="1">
      <c r="A221" s="74"/>
      <c r="B221" s="71" t="s">
        <v>550</v>
      </c>
      <c r="C221" s="66" t="s">
        <v>22</v>
      </c>
      <c r="D221" s="66" t="s">
        <v>66</v>
      </c>
      <c r="E221" s="81">
        <v>2023003050099</v>
      </c>
      <c r="F221" s="71" t="s">
        <v>555</v>
      </c>
      <c r="G221" s="66" t="s">
        <v>556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36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37</v>
      </c>
    </row>
    <row r="222" spans="1:21" ht="20.399999999999999" hidden="1" customHeight="1">
      <c r="A222" s="66">
        <v>58</v>
      </c>
      <c r="B222" s="71" t="s">
        <v>550</v>
      </c>
      <c r="C222" s="66" t="s">
        <v>22</v>
      </c>
      <c r="D222" s="66" t="s">
        <v>23</v>
      </c>
      <c r="E222" s="81">
        <v>2025003050056</v>
      </c>
      <c r="F222" s="71" t="s">
        <v>557</v>
      </c>
      <c r="G222" s="66" t="s">
        <v>558</v>
      </c>
      <c r="H222" s="66" t="s">
        <v>559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36</v>
      </c>
      <c r="O222" s="71" t="s">
        <v>44</v>
      </c>
      <c r="P222" s="66">
        <v>2025</v>
      </c>
      <c r="Q222" s="66" t="s">
        <v>37</v>
      </c>
      <c r="R222" s="66"/>
      <c r="S222" s="66"/>
      <c r="T222" s="70">
        <v>7.0000000000000007E-2</v>
      </c>
      <c r="U222" s="71" t="s">
        <v>361</v>
      </c>
    </row>
    <row r="223" spans="1:21" ht="34.200000000000003" hidden="1" customHeight="1">
      <c r="A223" s="95">
        <v>59</v>
      </c>
      <c r="B223" s="71" t="s">
        <v>560</v>
      </c>
      <c r="C223" s="66" t="s">
        <v>40</v>
      </c>
      <c r="D223" s="66" t="s">
        <v>23</v>
      </c>
      <c r="E223" s="81"/>
      <c r="F223" s="71" t="s">
        <v>101</v>
      </c>
      <c r="G223" s="71" t="s">
        <v>561</v>
      </c>
      <c r="H223" s="71" t="s">
        <v>562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97</v>
      </c>
      <c r="P223" s="66">
        <v>2025</v>
      </c>
      <c r="Q223" s="84" t="s">
        <v>37</v>
      </c>
      <c r="R223" s="87"/>
      <c r="S223" s="89"/>
      <c r="T223" s="80"/>
      <c r="U223" s="66" t="s">
        <v>154</v>
      </c>
    </row>
    <row r="224" spans="1:21" ht="34.200000000000003" hidden="1" customHeight="1">
      <c r="A224" s="95"/>
      <c r="B224" s="71" t="s">
        <v>560</v>
      </c>
      <c r="C224" s="66" t="s">
        <v>40</v>
      </c>
      <c r="D224" s="66" t="s">
        <v>174</v>
      </c>
      <c r="E224" s="81" t="s">
        <v>62</v>
      </c>
      <c r="F224" s="71" t="s">
        <v>563</v>
      </c>
      <c r="G224" s="71" t="s">
        <v>564</v>
      </c>
      <c r="H224" s="71" t="s">
        <v>564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36</v>
      </c>
      <c r="O224" s="71" t="s">
        <v>44</v>
      </c>
      <c r="P224" s="66">
        <v>2026</v>
      </c>
      <c r="Q224" s="66" t="s">
        <v>565</v>
      </c>
      <c r="R224" s="66"/>
      <c r="S224" s="66"/>
      <c r="T224" s="80">
        <v>0</v>
      </c>
      <c r="U224" s="66" t="s">
        <v>370</v>
      </c>
    </row>
    <row r="225" spans="1:21" ht="81.599999999999994" hidden="1" customHeight="1">
      <c r="A225" s="95"/>
      <c r="B225" s="71" t="s">
        <v>560</v>
      </c>
      <c r="C225" s="66" t="s">
        <v>40</v>
      </c>
      <c r="D225" s="66" t="s">
        <v>41</v>
      </c>
      <c r="E225" s="81"/>
      <c r="F225" s="71" t="s">
        <v>566</v>
      </c>
      <c r="G225" s="66" t="s">
        <v>499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30</v>
      </c>
      <c r="R225" s="66"/>
      <c r="S225" s="66"/>
      <c r="T225" s="70" t="s">
        <v>567</v>
      </c>
      <c r="U225" s="71"/>
    </row>
    <row r="226" spans="1:21" ht="13.8" hidden="1">
      <c r="A226" s="95"/>
      <c r="B226" s="71" t="s">
        <v>560</v>
      </c>
      <c r="C226" s="66" t="s">
        <v>40</v>
      </c>
      <c r="D226" s="66" t="s">
        <v>41</v>
      </c>
      <c r="E226" s="81" t="s">
        <v>568</v>
      </c>
      <c r="F226" s="71" t="s">
        <v>569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75</v>
      </c>
    </row>
    <row r="227" spans="1:21" ht="27.6" hidden="1">
      <c r="A227" s="95"/>
      <c r="B227" s="71" t="s">
        <v>560</v>
      </c>
      <c r="C227" s="66" t="s">
        <v>40</v>
      </c>
      <c r="D227" s="66" t="s">
        <v>41</v>
      </c>
      <c r="E227" s="81">
        <v>2025003050050</v>
      </c>
      <c r="F227" s="71" t="s">
        <v>570</v>
      </c>
      <c r="G227" s="66" t="s">
        <v>77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36</v>
      </c>
      <c r="O227" s="71" t="s">
        <v>135</v>
      </c>
      <c r="P227" s="66">
        <v>2026</v>
      </c>
      <c r="Q227" s="66" t="s">
        <v>37</v>
      </c>
      <c r="R227" s="66"/>
      <c r="S227" s="66"/>
      <c r="T227" s="70"/>
      <c r="U227" s="66"/>
    </row>
    <row r="228" spans="1:21" ht="13.8" hidden="1">
      <c r="A228" s="95"/>
      <c r="B228" s="71" t="s">
        <v>560</v>
      </c>
      <c r="C228" s="66" t="s">
        <v>40</v>
      </c>
      <c r="D228" s="66" t="s">
        <v>41</v>
      </c>
      <c r="E228" s="81" t="s">
        <v>571</v>
      </c>
      <c r="F228" s="71" t="s">
        <v>81</v>
      </c>
      <c r="G228" s="66" t="s">
        <v>77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73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75</v>
      </c>
    </row>
    <row r="229" spans="1:21" ht="20.399999999999999" hidden="1" customHeight="1">
      <c r="A229" s="66"/>
      <c r="B229" s="71" t="s">
        <v>572</v>
      </c>
      <c r="C229" s="66" t="s">
        <v>84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36</v>
      </c>
      <c r="O229" s="71" t="s">
        <v>44</v>
      </c>
      <c r="P229" s="66">
        <v>2021</v>
      </c>
      <c r="Q229" s="66" t="s">
        <v>37</v>
      </c>
      <c r="R229" s="66"/>
      <c r="S229" s="66"/>
      <c r="T229" s="70">
        <v>0.97</v>
      </c>
      <c r="U229" s="66"/>
    </row>
    <row r="230" spans="1:21" ht="20.399999999999999" hidden="1" customHeight="1">
      <c r="A230" s="66"/>
      <c r="B230" s="71" t="s">
        <v>572</v>
      </c>
      <c r="C230" s="66" t="s">
        <v>84</v>
      </c>
      <c r="D230" s="66" t="s">
        <v>41</v>
      </c>
      <c r="E230" s="81" t="s">
        <v>573</v>
      </c>
      <c r="F230" s="71" t="s">
        <v>574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73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hidden="1" customHeight="1">
      <c r="A231" s="66"/>
      <c r="B231" s="71" t="s">
        <v>572</v>
      </c>
      <c r="C231" s="66" t="s">
        <v>84</v>
      </c>
      <c r="D231" s="66" t="s">
        <v>41</v>
      </c>
      <c r="E231" s="81">
        <v>2025003050043</v>
      </c>
      <c r="F231" s="71" t="s">
        <v>575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36</v>
      </c>
      <c r="O231" s="71" t="s">
        <v>135</v>
      </c>
      <c r="P231" s="66">
        <v>2026</v>
      </c>
      <c r="Q231" s="66" t="s">
        <v>37</v>
      </c>
      <c r="R231" s="66"/>
      <c r="S231" s="66"/>
      <c r="T231" s="70">
        <v>0.1</v>
      </c>
      <c r="U231" s="66"/>
    </row>
    <row r="232" spans="1:21" ht="40.950000000000003" hidden="1" customHeight="1">
      <c r="A232" s="66">
        <v>60</v>
      </c>
      <c r="B232" s="71" t="s">
        <v>572</v>
      </c>
      <c r="C232" s="66" t="s">
        <v>84</v>
      </c>
      <c r="D232" s="66" t="s">
        <v>41</v>
      </c>
      <c r="E232" s="81" t="s">
        <v>146</v>
      </c>
      <c r="F232" s="71" t="s">
        <v>81</v>
      </c>
      <c r="G232" s="66" t="s">
        <v>77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74</v>
      </c>
      <c r="R232" s="66"/>
      <c r="S232" s="66"/>
      <c r="T232" s="70">
        <v>1</v>
      </c>
      <c r="U232" s="66"/>
    </row>
    <row r="233" spans="1:21" ht="13.8" hidden="1">
      <c r="A233" s="66">
        <v>61</v>
      </c>
      <c r="B233" s="71" t="s">
        <v>576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hidden="1" customHeight="1">
      <c r="A234" s="66">
        <v>62</v>
      </c>
      <c r="B234" s="71" t="s">
        <v>577</v>
      </c>
      <c r="C234" s="66" t="s">
        <v>149</v>
      </c>
      <c r="D234" s="66" t="s">
        <v>174</v>
      </c>
      <c r="E234" s="81" t="s">
        <v>352</v>
      </c>
      <c r="F234" s="71" t="s">
        <v>578</v>
      </c>
      <c r="G234" s="71" t="s">
        <v>579</v>
      </c>
      <c r="H234" s="71" t="s">
        <v>579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36</v>
      </c>
      <c r="O234" s="71" t="s">
        <v>97</v>
      </c>
      <c r="P234" s="66">
        <v>2025</v>
      </c>
      <c r="Q234" s="66" t="s">
        <v>30</v>
      </c>
      <c r="R234" s="66"/>
      <c r="S234" s="66"/>
      <c r="T234" s="71"/>
      <c r="U234" s="71" t="s">
        <v>580</v>
      </c>
    </row>
    <row r="235" spans="1:21" ht="102" hidden="1" customHeight="1">
      <c r="A235" s="101">
        <v>63</v>
      </c>
      <c r="B235" s="71" t="s">
        <v>581</v>
      </c>
      <c r="C235" s="66" t="s">
        <v>84</v>
      </c>
      <c r="D235" s="66" t="s">
        <v>23</v>
      </c>
      <c r="E235" s="81" t="s">
        <v>582</v>
      </c>
      <c r="F235" s="71" t="s">
        <v>583</v>
      </c>
      <c r="G235" s="71" t="s">
        <v>584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495</v>
      </c>
      <c r="O235" s="71" t="s">
        <v>97</v>
      </c>
      <c r="P235" s="66">
        <v>2025</v>
      </c>
      <c r="Q235" s="66"/>
      <c r="R235" s="66"/>
      <c r="S235" s="66"/>
      <c r="T235" s="66"/>
      <c r="U235" s="71" t="s">
        <v>585</v>
      </c>
    </row>
    <row r="236" spans="1:21" ht="102" hidden="1" customHeight="1">
      <c r="A236" s="106"/>
      <c r="B236" s="71" t="s">
        <v>581</v>
      </c>
      <c r="C236" s="66" t="s">
        <v>84</v>
      </c>
      <c r="D236" s="66" t="s">
        <v>174</v>
      </c>
      <c r="E236" s="81" t="s">
        <v>62</v>
      </c>
      <c r="F236" s="71" t="s">
        <v>586</v>
      </c>
      <c r="G236" s="71" t="s">
        <v>587</v>
      </c>
      <c r="H236" s="71" t="s">
        <v>587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36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588</v>
      </c>
    </row>
    <row r="237" spans="1:21" ht="102" hidden="1" customHeight="1">
      <c r="A237" s="106"/>
      <c r="B237" s="71" t="s">
        <v>581</v>
      </c>
      <c r="C237" s="66" t="s">
        <v>84</v>
      </c>
      <c r="D237" s="66" t="s">
        <v>174</v>
      </c>
      <c r="E237" s="81" t="s">
        <v>62</v>
      </c>
      <c r="F237" s="71" t="s">
        <v>589</v>
      </c>
      <c r="G237" s="71" t="s">
        <v>590</v>
      </c>
      <c r="H237" s="71" t="s">
        <v>590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36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591</v>
      </c>
    </row>
    <row r="238" spans="1:21" ht="39.6" hidden="1" customHeight="1">
      <c r="A238" s="106"/>
      <c r="B238" s="71" t="s">
        <v>581</v>
      </c>
      <c r="C238" s="66" t="s">
        <v>84</v>
      </c>
      <c r="D238" s="66" t="s">
        <v>33</v>
      </c>
      <c r="E238" s="55">
        <v>2022053640012</v>
      </c>
      <c r="F238" s="71" t="s">
        <v>592</v>
      </c>
      <c r="G238" s="71" t="s">
        <v>593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36</v>
      </c>
      <c r="O238" s="71" t="s">
        <v>594</v>
      </c>
      <c r="P238" s="66">
        <v>2022</v>
      </c>
      <c r="Q238" s="66" t="s">
        <v>74</v>
      </c>
      <c r="R238" s="66"/>
      <c r="S238" s="66"/>
      <c r="T238" s="40">
        <v>1</v>
      </c>
      <c r="U238" s="71" t="s">
        <v>37</v>
      </c>
    </row>
    <row r="239" spans="1:21" ht="40.950000000000003" hidden="1" customHeight="1">
      <c r="A239" s="106"/>
      <c r="B239" s="71" t="s">
        <v>581</v>
      </c>
      <c r="C239" s="66" t="s">
        <v>84</v>
      </c>
      <c r="D239" s="66" t="s">
        <v>41</v>
      </c>
      <c r="E239" s="81" t="s">
        <v>146</v>
      </c>
      <c r="F239" s="71" t="s">
        <v>81</v>
      </c>
      <c r="G239" s="66" t="s">
        <v>77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512</v>
      </c>
      <c r="R239" s="66"/>
      <c r="S239" s="66"/>
      <c r="T239" s="80">
        <v>1</v>
      </c>
      <c r="U239" s="71" t="s">
        <v>75</v>
      </c>
    </row>
    <row r="240" spans="1:21" ht="40.950000000000003" hidden="1" customHeight="1">
      <c r="A240" s="102"/>
      <c r="B240" s="71" t="s">
        <v>595</v>
      </c>
      <c r="C240" s="66" t="s">
        <v>84</v>
      </c>
      <c r="D240" s="66" t="s">
        <v>47</v>
      </c>
      <c r="E240" s="81"/>
      <c r="F240" s="71" t="s">
        <v>596</v>
      </c>
      <c r="G240" s="71" t="s">
        <v>597</v>
      </c>
      <c r="H240" s="71" t="s">
        <v>597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37</v>
      </c>
    </row>
    <row r="241" spans="1:21" ht="40.950000000000003" hidden="1" customHeight="1">
      <c r="A241" s="95">
        <v>64</v>
      </c>
      <c r="B241" s="71" t="s">
        <v>598</v>
      </c>
      <c r="C241" s="66" t="s">
        <v>84</v>
      </c>
      <c r="D241" s="66" t="s">
        <v>41</v>
      </c>
      <c r="E241" s="81">
        <v>4600018194</v>
      </c>
      <c r="F241" s="71" t="s">
        <v>599</v>
      </c>
      <c r="G241" s="66" t="s">
        <v>600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37</v>
      </c>
      <c r="R241" s="66"/>
      <c r="S241" s="66"/>
      <c r="T241" s="80">
        <v>0.9</v>
      </c>
      <c r="U241" s="71"/>
    </row>
    <row r="242" spans="1:21" ht="40.950000000000003" hidden="1" customHeight="1">
      <c r="A242" s="95"/>
      <c r="B242" s="71" t="s">
        <v>598</v>
      </c>
      <c r="C242" s="66" t="s">
        <v>84</v>
      </c>
      <c r="D242" s="66" t="s">
        <v>41</v>
      </c>
      <c r="E242" s="81">
        <v>2022053680001</v>
      </c>
      <c r="F242" s="71" t="s">
        <v>601</v>
      </c>
      <c r="G242" s="66" t="s">
        <v>602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36</v>
      </c>
      <c r="O242" s="71" t="s">
        <v>594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hidden="1" customHeight="1">
      <c r="A243" s="95"/>
      <c r="B243" s="71" t="s">
        <v>598</v>
      </c>
      <c r="C243" s="66" t="s">
        <v>84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79</v>
      </c>
      <c r="P243" s="66">
        <v>2024</v>
      </c>
      <c r="Q243" s="66" t="s">
        <v>37</v>
      </c>
      <c r="R243" s="66"/>
      <c r="S243" s="66"/>
      <c r="T243" s="70">
        <v>0.87</v>
      </c>
      <c r="U243" s="71" t="s">
        <v>136</v>
      </c>
    </row>
    <row r="244" spans="1:21" ht="41.4" hidden="1">
      <c r="A244" s="95"/>
      <c r="B244" s="71" t="s">
        <v>598</v>
      </c>
      <c r="C244" s="66" t="s">
        <v>84</v>
      </c>
      <c r="D244" s="66" t="s">
        <v>47</v>
      </c>
      <c r="E244" s="81"/>
      <c r="F244" s="71" t="s">
        <v>596</v>
      </c>
      <c r="G244" s="71" t="s">
        <v>603</v>
      </c>
      <c r="H244" s="71" t="s">
        <v>603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37</v>
      </c>
    </row>
    <row r="245" spans="1:21" ht="13.8" hidden="1">
      <c r="A245" s="95"/>
      <c r="B245" s="71" t="s">
        <v>598</v>
      </c>
      <c r="C245" s="66" t="s">
        <v>84</v>
      </c>
      <c r="D245" s="66" t="s">
        <v>66</v>
      </c>
      <c r="E245" s="81"/>
      <c r="F245" s="71" t="s">
        <v>604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 hidden="1">
      <c r="A246" s="95"/>
      <c r="B246" s="71" t="s">
        <v>598</v>
      </c>
      <c r="C246" s="66" t="s">
        <v>84</v>
      </c>
      <c r="D246" s="66" t="s">
        <v>23</v>
      </c>
      <c r="E246" s="81">
        <v>4600017741</v>
      </c>
      <c r="F246" s="71" t="s">
        <v>208</v>
      </c>
      <c r="G246" s="71" t="s">
        <v>605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82</v>
      </c>
    </row>
    <row r="247" spans="1:21" ht="40.950000000000003" hidden="1" customHeight="1">
      <c r="A247" s="95"/>
      <c r="B247" s="71" t="s">
        <v>598</v>
      </c>
      <c r="C247" s="66" t="s">
        <v>84</v>
      </c>
      <c r="D247" s="66" t="s">
        <v>41</v>
      </c>
      <c r="E247" s="81" t="s">
        <v>146</v>
      </c>
      <c r="F247" s="71" t="s">
        <v>81</v>
      </c>
      <c r="G247" s="66" t="s">
        <v>77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75</v>
      </c>
    </row>
    <row r="248" spans="1:21" ht="40.950000000000003" customHeight="1">
      <c r="A248" s="66"/>
      <c r="B248" s="71" t="s">
        <v>606</v>
      </c>
      <c r="C248" s="66" t="s">
        <v>22</v>
      </c>
      <c r="D248" s="66" t="s">
        <v>487</v>
      </c>
      <c r="E248" s="81" t="s">
        <v>607</v>
      </c>
      <c r="F248" s="71" t="s">
        <v>608</v>
      </c>
      <c r="G248" s="71" t="s">
        <v>609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610</v>
      </c>
      <c r="P248" s="66">
        <v>2025</v>
      </c>
      <c r="Q248" s="66" t="s">
        <v>37</v>
      </c>
      <c r="R248" s="66"/>
      <c r="S248" s="66"/>
      <c r="T248" s="80">
        <v>0.71689999999999998</v>
      </c>
      <c r="U248" s="71"/>
    </row>
    <row r="249" spans="1:21" ht="81.599999999999994" customHeight="1">
      <c r="A249" s="95">
        <v>65</v>
      </c>
      <c r="B249" s="71" t="s">
        <v>606</v>
      </c>
      <c r="C249" s="66" t="s">
        <v>22</v>
      </c>
      <c r="D249" s="66" t="s">
        <v>41</v>
      </c>
      <c r="E249" s="81"/>
      <c r="F249" s="71" t="s">
        <v>611</v>
      </c>
      <c r="G249" s="66" t="s">
        <v>499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74</v>
      </c>
      <c r="R249" s="66"/>
      <c r="S249" s="66"/>
      <c r="T249" s="80"/>
      <c r="U249" s="71" t="s">
        <v>612</v>
      </c>
    </row>
    <row r="250" spans="1:21" ht="81.599999999999994" customHeight="1">
      <c r="A250" s="95"/>
      <c r="B250" s="71" t="s">
        <v>606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613</v>
      </c>
      <c r="H250" s="66" t="s">
        <v>613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36</v>
      </c>
      <c r="O250" s="71" t="s">
        <v>44</v>
      </c>
      <c r="P250" s="66">
        <v>2020</v>
      </c>
      <c r="Q250" s="66" t="s">
        <v>74</v>
      </c>
      <c r="R250" s="66"/>
      <c r="S250" s="66"/>
      <c r="T250" s="80">
        <v>1</v>
      </c>
      <c r="U250" s="71" t="s">
        <v>69</v>
      </c>
    </row>
    <row r="251" spans="1:21" ht="40.950000000000003" customHeight="1">
      <c r="A251" s="95"/>
      <c r="B251" s="71" t="s">
        <v>606</v>
      </c>
      <c r="C251" s="66" t="s">
        <v>22</v>
      </c>
      <c r="D251" s="66" t="s">
        <v>41</v>
      </c>
      <c r="E251" s="81" t="s">
        <v>146</v>
      </c>
      <c r="F251" s="71" t="s">
        <v>81</v>
      </c>
      <c r="G251" s="66" t="s">
        <v>77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74</v>
      </c>
      <c r="R251" s="66"/>
      <c r="S251" s="66"/>
      <c r="T251" s="70">
        <v>1</v>
      </c>
      <c r="U251" s="66" t="s">
        <v>75</v>
      </c>
    </row>
    <row r="252" spans="1:21" ht="13.8" hidden="1">
      <c r="A252" s="66">
        <v>66</v>
      </c>
      <c r="B252" s="71" t="s">
        <v>614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 hidden="1">
      <c r="A253" s="66"/>
      <c r="B253" s="71" t="s">
        <v>615</v>
      </c>
      <c r="C253" s="66" t="s">
        <v>84</v>
      </c>
      <c r="D253" s="66" t="s">
        <v>47</v>
      </c>
      <c r="E253" s="81"/>
      <c r="F253" s="71" t="s">
        <v>616</v>
      </c>
      <c r="G253" s="66" t="s">
        <v>617</v>
      </c>
      <c r="H253" s="66" t="s">
        <v>617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74</v>
      </c>
    </row>
    <row r="254" spans="1:21" ht="13.8" hidden="1">
      <c r="A254" s="66">
        <v>67</v>
      </c>
      <c r="B254" s="71" t="s">
        <v>615</v>
      </c>
      <c r="C254" s="66" t="s">
        <v>84</v>
      </c>
      <c r="D254" s="66" t="s">
        <v>41</v>
      </c>
      <c r="E254" s="81">
        <v>4600017881</v>
      </c>
      <c r="F254" s="71" t="s">
        <v>400</v>
      </c>
      <c r="G254" s="66" t="s">
        <v>618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37</v>
      </c>
      <c r="R254" s="66"/>
      <c r="S254" s="66"/>
      <c r="T254" s="70">
        <v>0.3</v>
      </c>
      <c r="U254" s="66"/>
    </row>
    <row r="255" spans="1:21" ht="27.6" hidden="1">
      <c r="A255" s="101">
        <v>68</v>
      </c>
      <c r="B255" s="71" t="s">
        <v>619</v>
      </c>
      <c r="C255" s="66" t="s">
        <v>22</v>
      </c>
      <c r="D255" s="66" t="s">
        <v>41</v>
      </c>
      <c r="E255" s="81">
        <v>2026003050001</v>
      </c>
      <c r="F255" s="71" t="s">
        <v>620</v>
      </c>
      <c r="G255" s="66" t="s">
        <v>77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36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621</v>
      </c>
    </row>
    <row r="256" spans="1:21" ht="27.6" hidden="1">
      <c r="A256" s="106"/>
      <c r="B256" s="71" t="s">
        <v>619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622</v>
      </c>
      <c r="H256" s="66" t="s">
        <v>623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36</v>
      </c>
      <c r="O256" s="66" t="s">
        <v>29</v>
      </c>
      <c r="P256" s="66">
        <v>2025</v>
      </c>
      <c r="Q256" s="84" t="s">
        <v>37</v>
      </c>
      <c r="R256" s="87"/>
      <c r="S256" s="89"/>
      <c r="T256" s="80"/>
      <c r="U256" s="76" t="s">
        <v>60</v>
      </c>
    </row>
    <row r="257" spans="1:21" ht="13.8" hidden="1">
      <c r="A257" s="106"/>
      <c r="B257" s="71" t="s">
        <v>619</v>
      </c>
      <c r="C257" s="66" t="s">
        <v>22</v>
      </c>
      <c r="D257" s="66" t="s">
        <v>41</v>
      </c>
      <c r="E257" s="81" t="s">
        <v>624</v>
      </c>
      <c r="F257" s="71" t="s">
        <v>625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75</v>
      </c>
    </row>
    <row r="258" spans="1:21" ht="13.8" hidden="1">
      <c r="A258" s="106"/>
      <c r="B258" s="71" t="s">
        <v>619</v>
      </c>
      <c r="C258" s="66" t="s">
        <v>22</v>
      </c>
      <c r="D258" s="66" t="s">
        <v>41</v>
      </c>
      <c r="E258" s="81" t="s">
        <v>626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73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75</v>
      </c>
    </row>
    <row r="259" spans="1:21" ht="13.8" hidden="1">
      <c r="A259" s="106"/>
      <c r="B259" s="71" t="s">
        <v>619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627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82</v>
      </c>
    </row>
    <row r="260" spans="1:21" ht="34.200000000000003" hidden="1" customHeight="1">
      <c r="A260" s="102"/>
      <c r="B260" s="71" t="s">
        <v>619</v>
      </c>
      <c r="C260" s="66" t="s">
        <v>22</v>
      </c>
      <c r="D260" s="66" t="s">
        <v>41</v>
      </c>
      <c r="E260" s="81" t="s">
        <v>628</v>
      </c>
      <c r="F260" s="71" t="s">
        <v>81</v>
      </c>
      <c r="G260" s="66" t="s">
        <v>524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73</v>
      </c>
      <c r="O260" s="71" t="s">
        <v>50</v>
      </c>
      <c r="P260" s="66">
        <v>2024</v>
      </c>
      <c r="Q260" s="66" t="s">
        <v>74</v>
      </c>
      <c r="R260" s="66"/>
      <c r="S260" s="66"/>
      <c r="T260" s="80">
        <v>1</v>
      </c>
      <c r="U260" s="71" t="s">
        <v>69</v>
      </c>
    </row>
    <row r="261" spans="1:21" ht="55.2" hidden="1">
      <c r="A261" s="101">
        <v>69</v>
      </c>
      <c r="B261" s="71" t="s">
        <v>629</v>
      </c>
      <c r="C261" s="66" t="s">
        <v>40</v>
      </c>
      <c r="D261" s="66" t="s">
        <v>23</v>
      </c>
      <c r="E261" s="81" t="s">
        <v>630</v>
      </c>
      <c r="F261" s="76" t="s">
        <v>631</v>
      </c>
      <c r="G261" s="71" t="s">
        <v>632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495</v>
      </c>
      <c r="O261" s="71" t="s">
        <v>97</v>
      </c>
      <c r="P261" s="66">
        <v>2023</v>
      </c>
      <c r="Q261" s="66"/>
      <c r="R261" s="66"/>
      <c r="S261" s="66"/>
      <c r="T261" s="70">
        <v>1</v>
      </c>
      <c r="U261" s="66" t="s">
        <v>82</v>
      </c>
    </row>
    <row r="262" spans="1:21" ht="102" hidden="1" customHeight="1">
      <c r="A262" s="106"/>
      <c r="B262" s="71" t="s">
        <v>629</v>
      </c>
      <c r="C262" s="66" t="s">
        <v>40</v>
      </c>
      <c r="D262" s="66" t="s">
        <v>23</v>
      </c>
      <c r="E262" s="81" t="s">
        <v>633</v>
      </c>
      <c r="F262" s="71" t="s">
        <v>634</v>
      </c>
      <c r="G262" s="66" t="s">
        <v>635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495</v>
      </c>
      <c r="O262" s="71" t="s">
        <v>97</v>
      </c>
      <c r="P262" s="66">
        <v>2025</v>
      </c>
      <c r="Q262" s="66"/>
      <c r="R262" s="66"/>
      <c r="S262" s="66"/>
      <c r="T262" s="80"/>
      <c r="U262" s="71" t="s">
        <v>636</v>
      </c>
    </row>
    <row r="263" spans="1:21" ht="102" hidden="1" customHeight="1">
      <c r="A263" s="106"/>
      <c r="B263" s="71" t="s">
        <v>637</v>
      </c>
      <c r="C263" s="66" t="s">
        <v>40</v>
      </c>
      <c r="D263" s="66" t="s">
        <v>174</v>
      </c>
      <c r="E263" s="81"/>
      <c r="F263" s="71" t="s">
        <v>638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 hidden="1">
      <c r="A264" s="106"/>
      <c r="B264" s="71" t="s">
        <v>637</v>
      </c>
      <c r="C264" s="66" t="s">
        <v>40</v>
      </c>
      <c r="D264" s="66" t="s">
        <v>174</v>
      </c>
      <c r="E264" s="81"/>
      <c r="F264" s="71" t="s">
        <v>639</v>
      </c>
      <c r="G264" s="66" t="s">
        <v>640</v>
      </c>
      <c r="H264" s="66" t="s">
        <v>640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641</v>
      </c>
    </row>
    <row r="265" spans="1:21" ht="46.2" hidden="1" customHeight="1">
      <c r="A265" s="106"/>
      <c r="B265" s="71" t="s">
        <v>629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642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69</v>
      </c>
    </row>
    <row r="266" spans="1:21" ht="46.2" hidden="1" customHeight="1">
      <c r="A266" s="67"/>
      <c r="B266" s="71" t="s">
        <v>643</v>
      </c>
      <c r="C266" s="71" t="s">
        <v>336</v>
      </c>
      <c r="D266" s="66" t="s">
        <v>174</v>
      </c>
      <c r="E266" s="81" t="s">
        <v>62</v>
      </c>
      <c r="F266" s="71" t="s">
        <v>644</v>
      </c>
      <c r="G266" s="66" t="s">
        <v>645</v>
      </c>
      <c r="H266" s="66" t="s">
        <v>645</v>
      </c>
      <c r="I266" s="66" t="s">
        <v>106</v>
      </c>
      <c r="J266" s="66" t="s">
        <v>646</v>
      </c>
      <c r="K266" s="69" t="s">
        <v>647</v>
      </c>
      <c r="L266" s="69">
        <v>0</v>
      </c>
      <c r="M266" s="3" t="s">
        <v>648</v>
      </c>
      <c r="N266" s="66" t="s">
        <v>36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hidden="1" customHeight="1">
      <c r="A267" s="95">
        <v>70</v>
      </c>
      <c r="B267" s="71" t="s">
        <v>643</v>
      </c>
      <c r="C267" s="71" t="s">
        <v>336</v>
      </c>
      <c r="D267" s="71" t="s">
        <v>41</v>
      </c>
      <c r="E267" s="45" t="s">
        <v>649</v>
      </c>
      <c r="F267" s="71" t="s">
        <v>81</v>
      </c>
      <c r="G267" s="66" t="s">
        <v>77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73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hidden="1" customHeight="1">
      <c r="A268" s="95"/>
      <c r="B268" s="71" t="s">
        <v>643</v>
      </c>
      <c r="C268" s="71" t="s">
        <v>336</v>
      </c>
      <c r="D268" s="71" t="s">
        <v>41</v>
      </c>
      <c r="E268" s="45" t="s">
        <v>650</v>
      </c>
      <c r="F268" s="71" t="s">
        <v>81</v>
      </c>
      <c r="G268" s="66" t="s">
        <v>77</v>
      </c>
      <c r="H268" s="66">
        <v>1</v>
      </c>
      <c r="I268" s="66" t="s">
        <v>89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73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hidden="1" customHeight="1">
      <c r="A269" s="95"/>
      <c r="B269" s="71" t="s">
        <v>643</v>
      </c>
      <c r="C269" s="71" t="s">
        <v>336</v>
      </c>
      <c r="D269" s="71" t="s">
        <v>41</v>
      </c>
      <c r="E269" s="45" t="s">
        <v>651</v>
      </c>
      <c r="F269" s="71" t="s">
        <v>76</v>
      </c>
      <c r="G269" s="71" t="s">
        <v>141</v>
      </c>
      <c r="H269" s="71">
        <v>0.2</v>
      </c>
      <c r="I269" s="71" t="s">
        <v>89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73</v>
      </c>
      <c r="O269" s="71" t="s">
        <v>50</v>
      </c>
      <c r="P269" s="66">
        <v>2025</v>
      </c>
      <c r="Q269" s="66" t="s">
        <v>74</v>
      </c>
      <c r="R269" s="66"/>
      <c r="S269" s="66"/>
      <c r="T269" s="80">
        <v>1</v>
      </c>
      <c r="U269" s="71"/>
    </row>
    <row r="270" spans="1:21" ht="40.950000000000003" hidden="1" customHeight="1">
      <c r="A270" s="95"/>
      <c r="B270" s="71" t="s">
        <v>643</v>
      </c>
      <c r="C270" s="71" t="s">
        <v>336</v>
      </c>
      <c r="D270" s="71" t="s">
        <v>41</v>
      </c>
      <c r="E270" s="45">
        <v>2024003050246</v>
      </c>
      <c r="F270" s="71" t="s">
        <v>652</v>
      </c>
      <c r="G270" s="66" t="s">
        <v>105</v>
      </c>
      <c r="H270" s="66">
        <v>2</v>
      </c>
      <c r="I270" s="66" t="s">
        <v>89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36</v>
      </c>
      <c r="O270" s="2" t="s">
        <v>44</v>
      </c>
      <c r="P270" s="66">
        <v>2024</v>
      </c>
      <c r="Q270" s="66" t="s">
        <v>74</v>
      </c>
      <c r="R270" s="66"/>
      <c r="S270" s="66"/>
      <c r="T270" s="70">
        <v>1</v>
      </c>
      <c r="U270" s="66"/>
    </row>
    <row r="271" spans="1:21" ht="40.950000000000003" hidden="1" customHeight="1">
      <c r="A271" s="66"/>
      <c r="B271" s="71" t="s">
        <v>653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654</v>
      </c>
      <c r="H271" s="66" t="s">
        <v>654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36</v>
      </c>
      <c r="O271" s="2" t="s">
        <v>50</v>
      </c>
      <c r="P271" s="66">
        <v>2021</v>
      </c>
      <c r="Q271" s="66" t="s">
        <v>74</v>
      </c>
      <c r="R271" s="66"/>
      <c r="S271" s="66"/>
      <c r="T271" s="70">
        <v>1</v>
      </c>
      <c r="U271" s="66" t="s">
        <v>69</v>
      </c>
    </row>
    <row r="272" spans="1:21" ht="61.2" hidden="1" customHeight="1">
      <c r="A272" s="95">
        <v>71</v>
      </c>
      <c r="B272" s="71" t="s">
        <v>653</v>
      </c>
      <c r="C272" s="66" t="s">
        <v>22</v>
      </c>
      <c r="D272" s="66" t="s">
        <v>41</v>
      </c>
      <c r="E272" s="81">
        <v>2025003050020</v>
      </c>
      <c r="F272" s="71" t="s">
        <v>655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36</v>
      </c>
      <c r="O272" s="2" t="s">
        <v>44</v>
      </c>
      <c r="P272" s="66">
        <v>2025</v>
      </c>
      <c r="Q272" s="66" t="s">
        <v>37</v>
      </c>
      <c r="R272" s="66"/>
      <c r="S272" s="66"/>
      <c r="T272" s="70">
        <v>0.93</v>
      </c>
      <c r="U272" s="71"/>
    </row>
    <row r="273" spans="1:21" ht="61.2" hidden="1" customHeight="1">
      <c r="A273" s="95"/>
      <c r="B273" s="71" t="s">
        <v>653</v>
      </c>
      <c r="C273" s="66" t="s">
        <v>22</v>
      </c>
      <c r="D273" s="66" t="s">
        <v>41</v>
      </c>
      <c r="E273" s="81" t="s">
        <v>656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73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75</v>
      </c>
    </row>
    <row r="274" spans="1:21" ht="13.8" hidden="1">
      <c r="A274" s="95"/>
      <c r="B274" s="71" t="s">
        <v>653</v>
      </c>
      <c r="C274" s="66" t="s">
        <v>22</v>
      </c>
      <c r="D274" s="66" t="s">
        <v>41</v>
      </c>
      <c r="E274" s="81" t="s">
        <v>657</v>
      </c>
      <c r="F274" s="71" t="s">
        <v>81</v>
      </c>
      <c r="G274" s="66" t="s">
        <v>77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73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69</v>
      </c>
    </row>
    <row r="275" spans="1:21" ht="13.8" hidden="1">
      <c r="A275" s="95"/>
      <c r="B275" s="71" t="s">
        <v>653</v>
      </c>
      <c r="C275" s="66" t="s">
        <v>22</v>
      </c>
      <c r="D275" s="66" t="s">
        <v>41</v>
      </c>
      <c r="E275" s="81" t="s">
        <v>658</v>
      </c>
      <c r="F275" s="71" t="s">
        <v>659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75</v>
      </c>
    </row>
    <row r="276" spans="1:21" ht="13.8" hidden="1">
      <c r="A276" s="95"/>
      <c r="B276" s="66" t="s">
        <v>660</v>
      </c>
      <c r="C276" s="66" t="s">
        <v>22</v>
      </c>
      <c r="D276" s="66" t="s">
        <v>41</v>
      </c>
      <c r="E276" s="81" t="s">
        <v>661</v>
      </c>
      <c r="F276" s="71" t="s">
        <v>81</v>
      </c>
      <c r="G276" s="66" t="s">
        <v>77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73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69</v>
      </c>
    </row>
    <row r="277" spans="1:21" ht="13.8" hidden="1">
      <c r="A277" s="66">
        <v>72</v>
      </c>
      <c r="B277" s="71" t="s">
        <v>662</v>
      </c>
      <c r="C277" s="66" t="s">
        <v>224</v>
      </c>
      <c r="D277" s="66" t="s">
        <v>119</v>
      </c>
      <c r="E277" s="81" t="s">
        <v>62</v>
      </c>
      <c r="F277" s="71" t="s">
        <v>663</v>
      </c>
      <c r="G277" s="66" t="s">
        <v>664</v>
      </c>
      <c r="H277" s="66" t="s">
        <v>664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74</v>
      </c>
      <c r="R277" s="66"/>
      <c r="S277" s="66"/>
      <c r="T277" s="44">
        <v>1</v>
      </c>
      <c r="U277" s="66"/>
    </row>
    <row r="278" spans="1:21" ht="13.8" hidden="1">
      <c r="A278" s="66"/>
      <c r="B278" s="71" t="s">
        <v>665</v>
      </c>
      <c r="C278" s="66" t="s">
        <v>84</v>
      </c>
      <c r="D278" s="66" t="s">
        <v>23</v>
      </c>
      <c r="E278" s="81">
        <v>4600017698</v>
      </c>
      <c r="F278" s="71" t="s">
        <v>208</v>
      </c>
      <c r="G278" s="66" t="s">
        <v>666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74</v>
      </c>
      <c r="R278" s="66"/>
      <c r="S278" s="66"/>
      <c r="T278" s="70">
        <v>1</v>
      </c>
      <c r="U278" s="66" t="s">
        <v>69</v>
      </c>
    </row>
    <row r="279" spans="1:21" ht="13.8" hidden="1">
      <c r="A279" s="66"/>
      <c r="B279" s="71" t="s">
        <v>665</v>
      </c>
      <c r="C279" s="66" t="s">
        <v>84</v>
      </c>
      <c r="D279" s="66" t="s">
        <v>41</v>
      </c>
      <c r="E279" s="81">
        <v>2026003050017</v>
      </c>
      <c r="F279" s="71" t="s">
        <v>667</v>
      </c>
      <c r="G279" s="66" t="s">
        <v>77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36</v>
      </c>
      <c r="O279" s="71" t="s">
        <v>79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 hidden="1">
      <c r="A280" s="66">
        <v>73</v>
      </c>
      <c r="B280" s="71" t="s">
        <v>665</v>
      </c>
      <c r="C280" s="66" t="s">
        <v>84</v>
      </c>
      <c r="D280" s="66" t="s">
        <v>41</v>
      </c>
      <c r="E280" s="81" t="s">
        <v>668</v>
      </c>
      <c r="F280" s="71" t="s">
        <v>81</v>
      </c>
      <c r="G280" s="66" t="s">
        <v>77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73</v>
      </c>
      <c r="O280" s="71" t="s">
        <v>50</v>
      </c>
      <c r="P280" s="66">
        <v>2024</v>
      </c>
      <c r="Q280" s="66" t="s">
        <v>74</v>
      </c>
      <c r="R280" s="66"/>
      <c r="S280" s="66"/>
      <c r="T280" s="70">
        <v>1</v>
      </c>
      <c r="U280" s="66"/>
    </row>
    <row r="281" spans="1:21" ht="27.6" hidden="1">
      <c r="A281" s="95">
        <v>74</v>
      </c>
      <c r="B281" s="71" t="s">
        <v>669</v>
      </c>
      <c r="C281" s="66" t="s">
        <v>181</v>
      </c>
      <c r="D281" s="66" t="s">
        <v>47</v>
      </c>
      <c r="E281" s="81"/>
      <c r="F281" s="71" t="s">
        <v>346</v>
      </c>
      <c r="G281" s="66" t="s">
        <v>617</v>
      </c>
      <c r="H281" s="66" t="s">
        <v>617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 hidden="1">
      <c r="A282" s="95"/>
      <c r="B282" s="71" t="s">
        <v>669</v>
      </c>
      <c r="C282" s="66" t="s">
        <v>181</v>
      </c>
      <c r="D282" s="66"/>
      <c r="E282" s="81"/>
      <c r="F282" s="71" t="s">
        <v>670</v>
      </c>
      <c r="G282" s="66" t="s">
        <v>671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37</v>
      </c>
      <c r="R282" s="66"/>
      <c r="S282" s="66"/>
      <c r="T282" s="40">
        <v>0.85</v>
      </c>
      <c r="U282" s="66"/>
    </row>
    <row r="283" spans="1:21" ht="37.200000000000003" hidden="1" customHeight="1">
      <c r="A283" s="95">
        <v>75</v>
      </c>
      <c r="B283" s="71" t="s">
        <v>672</v>
      </c>
      <c r="C283" s="66" t="s">
        <v>181</v>
      </c>
      <c r="D283" s="66" t="s">
        <v>23</v>
      </c>
      <c r="E283" s="81"/>
      <c r="F283" s="71" t="s">
        <v>101</v>
      </c>
      <c r="G283" s="66" t="s">
        <v>673</v>
      </c>
      <c r="H283" s="66" t="s">
        <v>674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97</v>
      </c>
      <c r="P283" s="66">
        <v>2025</v>
      </c>
      <c r="Q283" s="84" t="s">
        <v>37</v>
      </c>
      <c r="R283" s="87"/>
      <c r="S283" s="89"/>
      <c r="T283" s="80"/>
      <c r="U283" s="66" t="s">
        <v>154</v>
      </c>
    </row>
    <row r="284" spans="1:21" ht="13.8" hidden="1">
      <c r="A284" s="95"/>
      <c r="B284" s="71" t="s">
        <v>672</v>
      </c>
      <c r="C284" s="66" t="s">
        <v>181</v>
      </c>
      <c r="D284" s="66" t="s">
        <v>41</v>
      </c>
      <c r="E284" s="81" t="s">
        <v>675</v>
      </c>
      <c r="F284" s="71" t="s">
        <v>81</v>
      </c>
      <c r="G284" s="66" t="s">
        <v>77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73</v>
      </c>
      <c r="O284" s="71" t="s">
        <v>50</v>
      </c>
      <c r="P284" s="66">
        <v>2024</v>
      </c>
      <c r="Q284" s="66" t="s">
        <v>74</v>
      </c>
      <c r="R284" s="66"/>
      <c r="S284" s="66"/>
      <c r="T284" s="80">
        <v>1</v>
      </c>
      <c r="U284" s="71"/>
    </row>
    <row r="285" spans="1:21" ht="13.8" hidden="1">
      <c r="A285" s="102">
        <v>76</v>
      </c>
      <c r="B285" s="71" t="s">
        <v>676</v>
      </c>
      <c r="C285" s="66" t="s">
        <v>22</v>
      </c>
      <c r="D285" s="66" t="s">
        <v>41</v>
      </c>
      <c r="E285" s="81" t="s">
        <v>677</v>
      </c>
      <c r="F285" s="71" t="s">
        <v>81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73</v>
      </c>
      <c r="O285" s="69" t="s">
        <v>50</v>
      </c>
      <c r="P285" s="66">
        <v>2024</v>
      </c>
      <c r="Q285" s="66" t="s">
        <v>74</v>
      </c>
      <c r="R285" s="66"/>
      <c r="S285" s="66"/>
      <c r="T285" s="70">
        <v>1</v>
      </c>
      <c r="U285" s="66" t="s">
        <v>82</v>
      </c>
    </row>
    <row r="286" spans="1:21" ht="13.8" hidden="1">
      <c r="A286" s="102"/>
      <c r="B286" s="71" t="s">
        <v>676</v>
      </c>
      <c r="C286" s="66" t="s">
        <v>22</v>
      </c>
      <c r="D286" s="66" t="s">
        <v>41</v>
      </c>
      <c r="E286" s="81" t="s">
        <v>678</v>
      </c>
      <c r="F286" s="71" t="s">
        <v>265</v>
      </c>
      <c r="G286" s="66" t="s">
        <v>679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73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37</v>
      </c>
    </row>
    <row r="287" spans="1:21" ht="13.8" hidden="1">
      <c r="A287" s="102"/>
      <c r="B287" s="71" t="s">
        <v>676</v>
      </c>
      <c r="C287" s="66" t="s">
        <v>22</v>
      </c>
      <c r="D287" s="66" t="s">
        <v>41</v>
      </c>
      <c r="E287" s="81" t="s">
        <v>680</v>
      </c>
      <c r="F287" s="71" t="s">
        <v>681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75</v>
      </c>
    </row>
    <row r="288" spans="1:21" ht="13.8" hidden="1">
      <c r="A288" s="102"/>
      <c r="B288" s="71" t="s">
        <v>676</v>
      </c>
      <c r="C288" s="66" t="s">
        <v>22</v>
      </c>
      <c r="D288" s="66" t="s">
        <v>41</v>
      </c>
      <c r="E288" s="81" t="s">
        <v>682</v>
      </c>
      <c r="F288" s="71" t="s">
        <v>683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75</v>
      </c>
    </row>
    <row r="289" spans="1:21" ht="13.8" hidden="1">
      <c r="A289" s="95"/>
      <c r="B289" s="71" t="s">
        <v>676</v>
      </c>
      <c r="C289" s="66" t="s">
        <v>22</v>
      </c>
      <c r="D289" s="66" t="s">
        <v>41</v>
      </c>
      <c r="E289" s="81" t="s">
        <v>684</v>
      </c>
      <c r="F289" s="71" t="s">
        <v>81</v>
      </c>
      <c r="G289" s="66" t="s">
        <v>685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73</v>
      </c>
      <c r="O289" s="71" t="s">
        <v>50</v>
      </c>
      <c r="P289" s="66">
        <v>2025</v>
      </c>
      <c r="Q289" s="66" t="s">
        <v>74</v>
      </c>
      <c r="R289" s="66"/>
      <c r="S289" s="66"/>
      <c r="T289" s="70">
        <v>1</v>
      </c>
      <c r="U289" s="66" t="s">
        <v>37</v>
      </c>
    </row>
    <row r="290" spans="1:21" ht="27.6" hidden="1">
      <c r="A290" s="95"/>
      <c r="B290" s="71" t="s">
        <v>676</v>
      </c>
      <c r="C290" s="66" t="s">
        <v>22</v>
      </c>
      <c r="D290" s="66" t="s">
        <v>23</v>
      </c>
      <c r="E290" s="81"/>
      <c r="F290" s="71" t="s">
        <v>686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687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688</v>
      </c>
    </row>
    <row r="291" spans="1:21" ht="13.8" hidden="1">
      <c r="A291" s="95"/>
      <c r="B291" s="71" t="s">
        <v>676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689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69</v>
      </c>
    </row>
    <row r="292" spans="1:21" ht="13.8" hidden="1">
      <c r="A292" s="95"/>
      <c r="B292" s="71" t="s">
        <v>676</v>
      </c>
      <c r="C292" s="66" t="s">
        <v>22</v>
      </c>
      <c r="D292" s="66"/>
      <c r="E292" s="81">
        <v>2025003050045</v>
      </c>
      <c r="F292" s="71" t="s">
        <v>76</v>
      </c>
      <c r="G292" s="66" t="s">
        <v>77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36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 hidden="1">
      <c r="A293" s="95"/>
      <c r="B293" s="71" t="s">
        <v>676</v>
      </c>
      <c r="C293" s="66" t="s">
        <v>22</v>
      </c>
      <c r="D293" s="66" t="s">
        <v>41</v>
      </c>
      <c r="E293" s="81">
        <v>2024054830016</v>
      </c>
      <c r="F293" s="71" t="s">
        <v>690</v>
      </c>
      <c r="G293" s="66" t="s">
        <v>77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36</v>
      </c>
      <c r="O293" s="2" t="s">
        <v>44</v>
      </c>
      <c r="P293" s="66">
        <v>2026</v>
      </c>
      <c r="Q293" s="66" t="s">
        <v>37</v>
      </c>
      <c r="R293" s="66"/>
      <c r="S293" s="66"/>
      <c r="T293" s="80">
        <v>0</v>
      </c>
      <c r="U293" s="71"/>
    </row>
    <row r="294" spans="1:21" ht="41.4" hidden="1">
      <c r="A294" s="66"/>
      <c r="B294" s="71" t="s">
        <v>691</v>
      </c>
      <c r="C294" s="66" t="s">
        <v>292</v>
      </c>
      <c r="D294" s="66" t="s">
        <v>23</v>
      </c>
      <c r="E294" s="81" t="s">
        <v>692</v>
      </c>
      <c r="F294" s="71" t="s">
        <v>160</v>
      </c>
      <c r="G294" s="66" t="s">
        <v>693</v>
      </c>
      <c r="H294" s="66">
        <v>6.3</v>
      </c>
      <c r="I294" s="47" t="s">
        <v>26</v>
      </c>
      <c r="J294" s="66" t="s">
        <v>540</v>
      </c>
      <c r="K294" s="2">
        <v>5629794897</v>
      </c>
      <c r="L294" s="69">
        <v>0</v>
      </c>
      <c r="M294" s="2">
        <f>+K294</f>
        <v>5629794897</v>
      </c>
      <c r="N294" s="2" t="s">
        <v>694</v>
      </c>
      <c r="O294" s="71" t="s">
        <v>44</v>
      </c>
      <c r="P294" s="66">
        <v>2025</v>
      </c>
      <c r="Q294" s="66" t="s">
        <v>37</v>
      </c>
      <c r="R294" s="66"/>
      <c r="S294" s="66"/>
      <c r="T294" s="80">
        <v>0.02</v>
      </c>
      <c r="U294" s="71" t="s">
        <v>695</v>
      </c>
    </row>
    <row r="295" spans="1:21" ht="96.6" hidden="1">
      <c r="A295" s="95">
        <v>77</v>
      </c>
      <c r="B295" s="71" t="s">
        <v>691</v>
      </c>
      <c r="C295" s="66" t="s">
        <v>292</v>
      </c>
      <c r="D295" s="66" t="s">
        <v>23</v>
      </c>
      <c r="E295" s="81">
        <v>20240214000189</v>
      </c>
      <c r="F295" s="71" t="s">
        <v>696</v>
      </c>
      <c r="G295" s="66" t="s">
        <v>697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99</v>
      </c>
      <c r="O295" s="2" t="s">
        <v>62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698</v>
      </c>
    </row>
    <row r="296" spans="1:21" ht="27.6" hidden="1">
      <c r="A296" s="95"/>
      <c r="B296" s="71" t="s">
        <v>691</v>
      </c>
      <c r="C296" s="66" t="s">
        <v>292</v>
      </c>
      <c r="D296" s="66" t="s">
        <v>23</v>
      </c>
      <c r="E296" s="81">
        <v>4600016558</v>
      </c>
      <c r="F296" s="71" t="s">
        <v>699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687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82</v>
      </c>
    </row>
    <row r="297" spans="1:21" ht="13.8" hidden="1">
      <c r="A297" s="95"/>
      <c r="B297" s="71" t="s">
        <v>691</v>
      </c>
      <c r="C297" s="66" t="s">
        <v>292</v>
      </c>
      <c r="D297" s="66" t="s">
        <v>41</v>
      </c>
      <c r="E297" s="81" t="s">
        <v>700</v>
      </c>
      <c r="F297" s="71" t="s">
        <v>701</v>
      </c>
      <c r="G297" s="66" t="s">
        <v>77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73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69</v>
      </c>
    </row>
    <row r="298" spans="1:21" ht="27.6" hidden="1">
      <c r="A298" s="95">
        <v>78</v>
      </c>
      <c r="B298" s="71" t="s">
        <v>702</v>
      </c>
      <c r="C298" s="66" t="s">
        <v>181</v>
      </c>
      <c r="D298" s="66" t="s">
        <v>23</v>
      </c>
      <c r="E298" s="81"/>
      <c r="F298" s="71" t="s">
        <v>101</v>
      </c>
      <c r="G298" s="71" t="s">
        <v>703</v>
      </c>
      <c r="H298" s="71" t="s">
        <v>704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97</v>
      </c>
      <c r="P298" s="66">
        <v>2025</v>
      </c>
      <c r="Q298" s="84" t="s">
        <v>37</v>
      </c>
      <c r="R298" s="87"/>
      <c r="S298" s="89"/>
      <c r="T298" s="80"/>
      <c r="U298" s="71" t="s">
        <v>705</v>
      </c>
    </row>
    <row r="299" spans="1:21" ht="13.8" hidden="1">
      <c r="A299" s="95"/>
      <c r="B299" s="71" t="s">
        <v>702</v>
      </c>
      <c r="C299" s="66" t="s">
        <v>181</v>
      </c>
      <c r="D299" s="66" t="s">
        <v>41</v>
      </c>
      <c r="E299" s="81" t="s">
        <v>706</v>
      </c>
      <c r="F299" s="71" t="s">
        <v>707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37</v>
      </c>
      <c r="R299" s="66"/>
      <c r="S299" s="66"/>
      <c r="T299" s="80">
        <v>0</v>
      </c>
      <c r="U299" s="71"/>
    </row>
    <row r="300" spans="1:21" ht="13.8" hidden="1">
      <c r="A300" s="95"/>
      <c r="B300" s="71" t="s">
        <v>702</v>
      </c>
      <c r="C300" s="66" t="s">
        <v>181</v>
      </c>
      <c r="D300" s="66" t="s">
        <v>41</v>
      </c>
      <c r="E300" s="81" t="s">
        <v>708</v>
      </c>
      <c r="F300" s="71" t="s">
        <v>81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73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709</v>
      </c>
    </row>
    <row r="301" spans="1:21" ht="13.8" hidden="1">
      <c r="A301" s="106"/>
      <c r="B301" s="71" t="s">
        <v>637</v>
      </c>
      <c r="C301" s="66" t="s">
        <v>40</v>
      </c>
      <c r="D301" s="66" t="s">
        <v>41</v>
      </c>
      <c r="E301" s="81" t="s">
        <v>710</v>
      </c>
      <c r="F301" s="71" t="s">
        <v>76</v>
      </c>
      <c r="G301" s="71" t="s">
        <v>72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73</v>
      </c>
      <c r="O301" s="71" t="s">
        <v>50</v>
      </c>
      <c r="P301" s="66">
        <v>2025</v>
      </c>
      <c r="Q301" s="66" t="s">
        <v>37</v>
      </c>
      <c r="R301" s="66"/>
      <c r="S301" s="66"/>
      <c r="T301" s="80">
        <v>0.5</v>
      </c>
      <c r="U301" s="71"/>
    </row>
    <row r="302" spans="1:21" ht="13.8" hidden="1">
      <c r="A302" s="102"/>
      <c r="B302" s="71" t="s">
        <v>637</v>
      </c>
      <c r="C302" s="66" t="s">
        <v>40</v>
      </c>
      <c r="D302" s="66" t="s">
        <v>41</v>
      </c>
      <c r="E302" s="81" t="s">
        <v>711</v>
      </c>
      <c r="F302" s="71" t="s">
        <v>81</v>
      </c>
      <c r="G302" s="66" t="s">
        <v>77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73</v>
      </c>
      <c r="O302" s="71" t="s">
        <v>50</v>
      </c>
      <c r="P302" s="66">
        <v>2024</v>
      </c>
      <c r="Q302" s="66" t="s">
        <v>74</v>
      </c>
      <c r="R302" s="66"/>
      <c r="S302" s="66"/>
      <c r="T302" s="80">
        <v>1</v>
      </c>
      <c r="U302" s="71" t="s">
        <v>69</v>
      </c>
    </row>
    <row r="303" spans="1:21" ht="27.6" hidden="1">
      <c r="A303" s="101">
        <v>80</v>
      </c>
      <c r="B303" s="71" t="s">
        <v>712</v>
      </c>
      <c r="C303" s="66" t="s">
        <v>40</v>
      </c>
      <c r="D303" s="66" t="s">
        <v>23</v>
      </c>
      <c r="E303" s="81" t="s">
        <v>713</v>
      </c>
      <c r="F303" s="71" t="s">
        <v>714</v>
      </c>
      <c r="G303" s="66" t="s">
        <v>715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97</v>
      </c>
      <c r="P303" s="66">
        <v>2023</v>
      </c>
      <c r="Q303" s="66"/>
      <c r="R303" s="66"/>
      <c r="S303" s="66"/>
      <c r="T303" s="70">
        <v>1</v>
      </c>
      <c r="U303" s="71" t="s">
        <v>69</v>
      </c>
    </row>
    <row r="304" spans="1:21" ht="13.8" hidden="1">
      <c r="A304" s="106"/>
      <c r="B304" s="71" t="s">
        <v>716</v>
      </c>
      <c r="C304" s="66" t="s">
        <v>40</v>
      </c>
      <c r="D304" s="66" t="s">
        <v>41</v>
      </c>
      <c r="E304" s="81" t="s">
        <v>717</v>
      </c>
      <c r="F304" s="71" t="s">
        <v>76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73</v>
      </c>
      <c r="O304" s="71" t="s">
        <v>50</v>
      </c>
      <c r="P304" s="66">
        <v>2025</v>
      </c>
      <c r="Q304" s="66" t="s">
        <v>37</v>
      </c>
      <c r="R304" s="66"/>
      <c r="S304" s="66"/>
      <c r="T304" s="70">
        <v>0.6</v>
      </c>
      <c r="U304" s="71"/>
    </row>
    <row r="305" spans="1:21" ht="81.599999999999994" hidden="1" customHeight="1">
      <c r="A305" s="101">
        <v>81</v>
      </c>
      <c r="B305" s="71" t="s">
        <v>718</v>
      </c>
      <c r="C305" s="66" t="s">
        <v>84</v>
      </c>
      <c r="D305" s="66" t="s">
        <v>66</v>
      </c>
      <c r="E305" s="81"/>
      <c r="F305" s="71" t="s">
        <v>719</v>
      </c>
      <c r="G305" s="66" t="s">
        <v>720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37</v>
      </c>
    </row>
    <row r="306" spans="1:21" ht="81.599999999999994" hidden="1" customHeight="1">
      <c r="A306" s="106"/>
      <c r="B306" s="71" t="s">
        <v>718</v>
      </c>
      <c r="C306" s="66" t="s">
        <v>84</v>
      </c>
      <c r="D306" s="66" t="s">
        <v>23</v>
      </c>
      <c r="E306" s="81">
        <v>4600017681</v>
      </c>
      <c r="F306" s="71" t="s">
        <v>208</v>
      </c>
      <c r="G306" s="71" t="s">
        <v>721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69</v>
      </c>
    </row>
    <row r="307" spans="1:21" ht="81.599999999999994" hidden="1" customHeight="1">
      <c r="A307" s="106"/>
      <c r="B307" s="71" t="s">
        <v>718</v>
      </c>
      <c r="C307" s="66" t="s">
        <v>84</v>
      </c>
      <c r="D307" s="66" t="s">
        <v>23</v>
      </c>
      <c r="E307" s="81"/>
      <c r="F307" s="71" t="s">
        <v>101</v>
      </c>
      <c r="G307" s="71" t="s">
        <v>722</v>
      </c>
      <c r="H307" s="71" t="s">
        <v>723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97</v>
      </c>
      <c r="P307" s="66">
        <v>2025</v>
      </c>
      <c r="Q307" s="84" t="s">
        <v>37</v>
      </c>
      <c r="R307" s="87"/>
      <c r="S307" s="89"/>
      <c r="T307" s="80"/>
      <c r="U307" s="71" t="s">
        <v>705</v>
      </c>
    </row>
    <row r="308" spans="1:21" ht="40.950000000000003" hidden="1" customHeight="1">
      <c r="A308" s="102"/>
      <c r="B308" s="71" t="s">
        <v>718</v>
      </c>
      <c r="C308" s="66" t="s">
        <v>84</v>
      </c>
      <c r="D308" s="66" t="s">
        <v>41</v>
      </c>
      <c r="E308" s="81" t="s">
        <v>146</v>
      </c>
      <c r="F308" s="71" t="s">
        <v>81</v>
      </c>
      <c r="G308" s="66" t="s">
        <v>724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37</v>
      </c>
      <c r="R308" s="66"/>
      <c r="S308" s="66"/>
      <c r="T308" s="70">
        <v>0.8</v>
      </c>
      <c r="U308" s="66"/>
    </row>
    <row r="309" spans="1:21" ht="126" hidden="1" customHeight="1">
      <c r="A309" s="66">
        <v>82</v>
      </c>
      <c r="B309" s="71" t="s">
        <v>725</v>
      </c>
      <c r="C309" s="71" t="s">
        <v>336</v>
      </c>
      <c r="D309" s="71" t="s">
        <v>23</v>
      </c>
      <c r="E309" s="45" t="s">
        <v>726</v>
      </c>
      <c r="F309" s="71" t="s">
        <v>436</v>
      </c>
      <c r="G309" s="71" t="s">
        <v>727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97</v>
      </c>
      <c r="P309" s="66">
        <v>2025</v>
      </c>
      <c r="Q309" s="84" t="s">
        <v>37</v>
      </c>
      <c r="R309" s="87"/>
      <c r="S309" s="89"/>
      <c r="T309" s="80"/>
      <c r="U309" s="71" t="s">
        <v>154</v>
      </c>
    </row>
    <row r="310" spans="1:21" ht="40.950000000000003" hidden="1" customHeight="1">
      <c r="A310" s="66">
        <v>83</v>
      </c>
      <c r="B310" s="71" t="s">
        <v>728</v>
      </c>
      <c r="C310" s="71" t="s">
        <v>336</v>
      </c>
      <c r="D310" s="71" t="s">
        <v>23</v>
      </c>
      <c r="E310" s="103">
        <v>4600018191</v>
      </c>
      <c r="F310" s="112" t="s">
        <v>729</v>
      </c>
      <c r="G310" s="95" t="s">
        <v>730</v>
      </c>
      <c r="H310" s="95">
        <v>13.3</v>
      </c>
      <c r="I310" s="101" t="s">
        <v>26</v>
      </c>
      <c r="J310" s="101" t="s">
        <v>540</v>
      </c>
      <c r="K310" s="99">
        <f>806037831+182039258</f>
        <v>988077089</v>
      </c>
      <c r="L310" s="99">
        <v>0</v>
      </c>
      <c r="M310" s="99">
        <f>+K310</f>
        <v>988077089</v>
      </c>
      <c r="N310" s="96" t="s">
        <v>28</v>
      </c>
      <c r="O310" s="96" t="s">
        <v>731</v>
      </c>
      <c r="P310" s="95">
        <v>2025</v>
      </c>
      <c r="Q310" s="96" t="s">
        <v>37</v>
      </c>
      <c r="R310" s="71"/>
      <c r="S310" s="71"/>
      <c r="T310" s="95"/>
      <c r="U310" s="95" t="s">
        <v>540</v>
      </c>
    </row>
    <row r="311" spans="1:21" ht="40.950000000000003" hidden="1" customHeight="1">
      <c r="A311" s="95">
        <v>84</v>
      </c>
      <c r="B311" s="71" t="s">
        <v>732</v>
      </c>
      <c r="C311" s="71" t="s">
        <v>336</v>
      </c>
      <c r="D311" s="71" t="s">
        <v>23</v>
      </c>
      <c r="E311" s="104"/>
      <c r="F311" s="96"/>
      <c r="G311" s="95"/>
      <c r="H311" s="95"/>
      <c r="I311" s="102"/>
      <c r="J311" s="102"/>
      <c r="K311" s="99"/>
      <c r="L311" s="99"/>
      <c r="M311" s="99"/>
      <c r="N311" s="96"/>
      <c r="O311" s="96"/>
      <c r="P311" s="95"/>
      <c r="Q311" s="96"/>
      <c r="R311" s="71"/>
      <c r="S311" s="71"/>
      <c r="T311" s="95"/>
      <c r="U311" s="95"/>
    </row>
    <row r="312" spans="1:21" ht="40.950000000000003" hidden="1" customHeight="1">
      <c r="A312" s="95"/>
      <c r="B312" s="71" t="s">
        <v>728</v>
      </c>
      <c r="C312" s="71" t="s">
        <v>336</v>
      </c>
      <c r="D312" s="71" t="s">
        <v>23</v>
      </c>
      <c r="E312" s="103">
        <v>4600009793</v>
      </c>
      <c r="F312" s="96" t="s">
        <v>733</v>
      </c>
      <c r="G312" s="95" t="s">
        <v>734</v>
      </c>
      <c r="H312" s="95">
        <v>31.12</v>
      </c>
      <c r="I312" s="101" t="s">
        <v>26</v>
      </c>
      <c r="J312" s="101" t="s">
        <v>54</v>
      </c>
      <c r="K312" s="99">
        <f>+M312</f>
        <v>73907566008</v>
      </c>
      <c r="L312" s="99">
        <v>0</v>
      </c>
      <c r="M312" s="99">
        <v>73907566008</v>
      </c>
      <c r="N312" s="96" t="s">
        <v>735</v>
      </c>
      <c r="O312" s="96" t="s">
        <v>97</v>
      </c>
      <c r="P312" s="95">
        <v>2019</v>
      </c>
      <c r="Q312" s="96" t="s">
        <v>51</v>
      </c>
      <c r="R312" s="71"/>
      <c r="S312" s="71"/>
      <c r="T312" s="113">
        <v>1</v>
      </c>
      <c r="U312" s="95" t="s">
        <v>69</v>
      </c>
    </row>
    <row r="313" spans="1:21" ht="40.950000000000003" hidden="1" customHeight="1">
      <c r="A313" s="95"/>
      <c r="B313" s="71" t="s">
        <v>732</v>
      </c>
      <c r="C313" s="71" t="s">
        <v>336</v>
      </c>
      <c r="D313" s="71" t="s">
        <v>23</v>
      </c>
      <c r="E313" s="104"/>
      <c r="F313" s="96"/>
      <c r="G313" s="95"/>
      <c r="H313" s="95"/>
      <c r="I313" s="102"/>
      <c r="J313" s="102"/>
      <c r="K313" s="99"/>
      <c r="L313" s="99"/>
      <c r="M313" s="99"/>
      <c r="N313" s="96"/>
      <c r="O313" s="96"/>
      <c r="P313" s="95"/>
      <c r="Q313" s="96"/>
      <c r="R313" s="71"/>
      <c r="S313" s="71"/>
      <c r="T313" s="113"/>
      <c r="U313" s="95"/>
    </row>
    <row r="314" spans="1:21" ht="40.950000000000003" hidden="1" customHeight="1">
      <c r="A314" s="95"/>
      <c r="B314" s="71" t="s">
        <v>732</v>
      </c>
      <c r="C314" s="71" t="s">
        <v>336</v>
      </c>
      <c r="D314" s="71" t="s">
        <v>41</v>
      </c>
      <c r="E314" s="45" t="s">
        <v>736</v>
      </c>
      <c r="F314" s="71" t="s">
        <v>81</v>
      </c>
      <c r="G314" s="66" t="s">
        <v>77</v>
      </c>
      <c r="H314" s="66">
        <v>1</v>
      </c>
      <c r="I314" s="66" t="s">
        <v>89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73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69</v>
      </c>
    </row>
    <row r="315" spans="1:21" ht="40.950000000000003" hidden="1" customHeight="1">
      <c r="A315" s="95"/>
      <c r="B315" s="71" t="s">
        <v>732</v>
      </c>
      <c r="C315" s="71" t="s">
        <v>336</v>
      </c>
      <c r="D315" s="71" t="s">
        <v>41</v>
      </c>
      <c r="E315" s="45" t="s">
        <v>737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73</v>
      </c>
      <c r="O315" s="71" t="s">
        <v>50</v>
      </c>
      <c r="P315" s="66">
        <v>2025</v>
      </c>
      <c r="Q315" s="66" t="s">
        <v>37</v>
      </c>
      <c r="R315" s="66"/>
      <c r="S315" s="66"/>
      <c r="T315" s="80">
        <v>0.65</v>
      </c>
      <c r="U315" s="71"/>
    </row>
    <row r="316" spans="1:21" ht="40.950000000000003" hidden="1" customHeight="1">
      <c r="A316" s="95"/>
      <c r="B316" s="71" t="s">
        <v>732</v>
      </c>
      <c r="C316" s="71" t="s">
        <v>336</v>
      </c>
      <c r="D316" s="71" t="s">
        <v>41</v>
      </c>
      <c r="E316" s="45">
        <v>2025003050011</v>
      </c>
      <c r="F316" s="71" t="s">
        <v>76</v>
      </c>
      <c r="G316" s="66" t="s">
        <v>105</v>
      </c>
      <c r="H316" s="66">
        <v>2</v>
      </c>
      <c r="I316" s="66" t="s">
        <v>89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36</v>
      </c>
      <c r="O316" s="2" t="s">
        <v>44</v>
      </c>
      <c r="P316" s="66">
        <v>2025</v>
      </c>
      <c r="Q316" s="66" t="s">
        <v>74</v>
      </c>
      <c r="R316" s="66"/>
      <c r="S316" s="66"/>
      <c r="T316" s="80">
        <v>1</v>
      </c>
      <c r="U316" s="71"/>
    </row>
    <row r="317" spans="1:21" ht="40.950000000000003" hidden="1" customHeight="1">
      <c r="A317" s="72"/>
      <c r="B317" s="71" t="s">
        <v>738</v>
      </c>
      <c r="C317" s="66" t="s">
        <v>91</v>
      </c>
      <c r="D317" s="66" t="s">
        <v>41</v>
      </c>
      <c r="E317" s="81">
        <v>2023000040003</v>
      </c>
      <c r="F317" s="71" t="s">
        <v>92</v>
      </c>
      <c r="G317" s="66" t="s">
        <v>739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36</v>
      </c>
      <c r="O317" s="2"/>
      <c r="P317" s="66">
        <v>2020</v>
      </c>
      <c r="Q317" s="66" t="s">
        <v>37</v>
      </c>
      <c r="R317" s="66"/>
      <c r="S317" s="66"/>
      <c r="T317" s="70">
        <v>0.67749999999999999</v>
      </c>
      <c r="U317" s="71" t="s">
        <v>37</v>
      </c>
    </row>
    <row r="318" spans="1:21" ht="40.950000000000003" hidden="1" customHeight="1">
      <c r="A318" s="72"/>
      <c r="B318" s="71" t="s">
        <v>738</v>
      </c>
      <c r="C318" s="71" t="s">
        <v>91</v>
      </c>
      <c r="D318" s="71"/>
      <c r="E318" s="45"/>
      <c r="F318" s="71" t="s">
        <v>160</v>
      </c>
      <c r="G318" s="66" t="s">
        <v>740</v>
      </c>
      <c r="H318" s="66">
        <v>6</v>
      </c>
      <c r="I318" s="66"/>
      <c r="J318" s="66"/>
      <c r="K318" s="69"/>
      <c r="L318" s="69"/>
      <c r="M318" s="2"/>
      <c r="N318" s="2" t="s">
        <v>99</v>
      </c>
      <c r="O318" s="2" t="s">
        <v>44</v>
      </c>
      <c r="P318" s="66">
        <v>2025</v>
      </c>
      <c r="Q318" s="66" t="s">
        <v>37</v>
      </c>
      <c r="R318" s="66"/>
      <c r="S318" s="66"/>
      <c r="T318" s="80"/>
      <c r="U318" s="71" t="s">
        <v>163</v>
      </c>
    </row>
    <row r="319" spans="1:21" ht="40.950000000000003" hidden="1" customHeight="1">
      <c r="A319" s="101">
        <v>85</v>
      </c>
      <c r="B319" s="71" t="s">
        <v>738</v>
      </c>
      <c r="C319" s="66" t="s">
        <v>91</v>
      </c>
      <c r="D319" s="66" t="s">
        <v>41</v>
      </c>
      <c r="E319" s="81">
        <v>2023000040003</v>
      </c>
      <c r="F319" s="71" t="s">
        <v>741</v>
      </c>
      <c r="G319" s="66" t="s">
        <v>742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36</v>
      </c>
      <c r="O319" s="2" t="s">
        <v>44</v>
      </c>
      <c r="P319" s="66">
        <v>2023</v>
      </c>
      <c r="Q319" s="66" t="s">
        <v>37</v>
      </c>
      <c r="R319" s="66"/>
      <c r="S319" s="66"/>
      <c r="T319" s="80"/>
      <c r="U319" s="71"/>
    </row>
    <row r="320" spans="1:21" ht="61.2" hidden="1" customHeight="1">
      <c r="A320" s="102"/>
      <c r="B320" s="71" t="s">
        <v>738</v>
      </c>
      <c r="C320" s="66" t="s">
        <v>91</v>
      </c>
      <c r="D320" s="66" t="s">
        <v>23</v>
      </c>
      <c r="E320" s="81"/>
      <c r="F320" s="71" t="s">
        <v>436</v>
      </c>
      <c r="G320" s="71" t="s">
        <v>743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97</v>
      </c>
      <c r="P320" s="66">
        <v>2025</v>
      </c>
      <c r="Q320" s="84" t="s">
        <v>37</v>
      </c>
      <c r="R320" s="87"/>
      <c r="S320" s="89"/>
      <c r="T320" s="80"/>
      <c r="U320" s="71" t="s">
        <v>103</v>
      </c>
    </row>
    <row r="321" spans="1:21" ht="61.2" hidden="1" customHeight="1">
      <c r="A321" s="107">
        <v>86</v>
      </c>
      <c r="B321" s="71" t="s">
        <v>744</v>
      </c>
      <c r="C321" s="66" t="s">
        <v>22</v>
      </c>
      <c r="D321" s="66" t="s">
        <v>23</v>
      </c>
      <c r="E321" s="81"/>
      <c r="F321" s="71" t="s">
        <v>745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746</v>
      </c>
      <c r="P321" s="66">
        <v>2025</v>
      </c>
      <c r="Q321" s="66" t="s">
        <v>30</v>
      </c>
      <c r="R321" s="66"/>
      <c r="S321" s="66"/>
      <c r="T321" s="71" t="s">
        <v>747</v>
      </c>
      <c r="U321" s="66" t="s">
        <v>129</v>
      </c>
    </row>
    <row r="322" spans="1:21" ht="61.2" hidden="1" customHeight="1">
      <c r="A322" s="108"/>
      <c r="B322" s="66" t="s">
        <v>744</v>
      </c>
      <c r="C322" s="66" t="s">
        <v>22</v>
      </c>
      <c r="D322" s="66" t="s">
        <v>23</v>
      </c>
      <c r="E322" s="81"/>
      <c r="F322" s="71" t="s">
        <v>748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746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hidden="1" customHeight="1">
      <c r="A323" s="108"/>
      <c r="B323" s="66" t="s">
        <v>744</v>
      </c>
      <c r="C323" s="66" t="s">
        <v>22</v>
      </c>
      <c r="D323" s="66" t="s">
        <v>174</v>
      </c>
      <c r="E323" s="81">
        <v>2021003050047</v>
      </c>
      <c r="F323" s="71" t="s">
        <v>749</v>
      </c>
      <c r="G323" s="66" t="s">
        <v>750</v>
      </c>
      <c r="H323" s="66" t="s">
        <v>750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36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37</v>
      </c>
    </row>
    <row r="324" spans="1:21" ht="61.2" hidden="1" customHeight="1">
      <c r="A324" s="108"/>
      <c r="B324" s="66" t="s">
        <v>744</v>
      </c>
      <c r="C324" s="66" t="s">
        <v>22</v>
      </c>
      <c r="D324" s="66" t="s">
        <v>119</v>
      </c>
      <c r="E324" s="81">
        <v>2023003050019</v>
      </c>
      <c r="F324" s="71" t="s">
        <v>751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36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69</v>
      </c>
    </row>
    <row r="325" spans="1:21" ht="93" hidden="1" customHeight="1">
      <c r="A325" s="106"/>
      <c r="B325" s="66" t="s">
        <v>744</v>
      </c>
      <c r="C325" s="66" t="s">
        <v>22</v>
      </c>
      <c r="D325" s="66" t="s">
        <v>23</v>
      </c>
      <c r="E325" s="81"/>
      <c r="F325" s="71" t="s">
        <v>752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746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hidden="1" customHeight="1">
      <c r="A326" s="106"/>
      <c r="B326" s="66" t="s">
        <v>744</v>
      </c>
      <c r="C326" s="66" t="s">
        <v>22</v>
      </c>
      <c r="D326" s="66" t="s">
        <v>23</v>
      </c>
      <c r="E326" s="81"/>
      <c r="F326" s="71" t="s">
        <v>753</v>
      </c>
      <c r="G326" s="66" t="s">
        <v>754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746</v>
      </c>
      <c r="P326" s="66">
        <v>2025</v>
      </c>
      <c r="Q326" s="66"/>
      <c r="R326" s="66"/>
      <c r="S326" s="66"/>
      <c r="T326" s="80">
        <v>0.87</v>
      </c>
      <c r="U326" s="66" t="s">
        <v>37</v>
      </c>
    </row>
    <row r="327" spans="1:21" ht="61.2" hidden="1" customHeight="1">
      <c r="A327" s="108"/>
      <c r="B327" s="66" t="s">
        <v>744</v>
      </c>
      <c r="C327" s="66" t="s">
        <v>22</v>
      </c>
      <c r="D327" s="66" t="s">
        <v>174</v>
      </c>
      <c r="E327" s="81">
        <v>2025003050037</v>
      </c>
      <c r="F327" s="71" t="s">
        <v>755</v>
      </c>
      <c r="G327" s="71" t="s">
        <v>756</v>
      </c>
      <c r="H327" s="71" t="s">
        <v>756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36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370</v>
      </c>
    </row>
    <row r="328" spans="1:21" ht="61.2" hidden="1" customHeight="1">
      <c r="A328" s="108"/>
      <c r="B328" s="71" t="s">
        <v>744</v>
      </c>
      <c r="C328" s="66" t="s">
        <v>22</v>
      </c>
      <c r="D328" s="66" t="s">
        <v>23</v>
      </c>
      <c r="E328" s="81"/>
      <c r="F328" s="71" t="s">
        <v>757</v>
      </c>
      <c r="G328" s="66" t="s">
        <v>758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746</v>
      </c>
      <c r="P328" s="66">
        <v>2024</v>
      </c>
      <c r="Q328" s="66"/>
      <c r="R328" s="66"/>
      <c r="S328" s="66"/>
      <c r="T328" s="80">
        <v>0.18</v>
      </c>
      <c r="U328" s="66" t="s">
        <v>37</v>
      </c>
    </row>
    <row r="329" spans="1:21" ht="61.2" hidden="1" customHeight="1">
      <c r="A329" s="108"/>
      <c r="B329" s="71" t="s">
        <v>744</v>
      </c>
      <c r="C329" s="66" t="s">
        <v>22</v>
      </c>
      <c r="D329" s="66" t="s">
        <v>41</v>
      </c>
      <c r="E329" s="81">
        <v>2025003050035</v>
      </c>
      <c r="F329" s="71" t="s">
        <v>81</v>
      </c>
      <c r="G329" s="66" t="s">
        <v>759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36</v>
      </c>
      <c r="O329" s="2" t="s">
        <v>44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 hidden="1">
      <c r="A330" s="109"/>
      <c r="B330" s="71" t="s">
        <v>744</v>
      </c>
      <c r="C330" s="66" t="s">
        <v>22</v>
      </c>
      <c r="D330" s="66" t="s">
        <v>41</v>
      </c>
      <c r="E330" s="81" t="s">
        <v>760</v>
      </c>
      <c r="F330" s="71" t="s">
        <v>81</v>
      </c>
      <c r="G330" s="66" t="s">
        <v>761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73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37</v>
      </c>
    </row>
    <row r="331" spans="1:21" ht="41.4" hidden="1" customHeight="1">
      <c r="A331" s="68"/>
      <c r="B331" s="71" t="s">
        <v>762</v>
      </c>
      <c r="C331" s="66" t="s">
        <v>40</v>
      </c>
      <c r="D331" s="66" t="s">
        <v>23</v>
      </c>
      <c r="E331" s="81" t="s">
        <v>633</v>
      </c>
      <c r="F331" s="71" t="s">
        <v>634</v>
      </c>
      <c r="G331" s="66" t="s">
        <v>635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495</v>
      </c>
      <c r="O331" s="71" t="s">
        <v>97</v>
      </c>
      <c r="P331" s="66">
        <v>2025</v>
      </c>
      <c r="Q331" s="66"/>
      <c r="R331" s="66"/>
      <c r="S331" s="66"/>
      <c r="T331" s="66"/>
      <c r="U331" s="71" t="s">
        <v>763</v>
      </c>
    </row>
    <row r="332" spans="1:21" ht="13.8" hidden="1">
      <c r="A332" s="66">
        <v>88</v>
      </c>
      <c r="B332" s="71" t="s">
        <v>764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 hidden="1">
      <c r="A333" s="72"/>
      <c r="B333" s="71" t="s">
        <v>765</v>
      </c>
      <c r="C333" s="66" t="s">
        <v>84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36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37</v>
      </c>
    </row>
    <row r="334" spans="1:21" ht="13.8" hidden="1">
      <c r="A334" s="72"/>
      <c r="B334" s="71" t="s">
        <v>765</v>
      </c>
      <c r="C334" s="66" t="s">
        <v>84</v>
      </c>
      <c r="D334" s="66" t="s">
        <v>174</v>
      </c>
      <c r="E334" s="81" t="s">
        <v>62</v>
      </c>
      <c r="F334" s="71" t="s">
        <v>644</v>
      </c>
      <c r="G334" s="66" t="s">
        <v>766</v>
      </c>
      <c r="H334" s="66" t="s">
        <v>766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588</v>
      </c>
    </row>
    <row r="335" spans="1:21" ht="41.4" hidden="1">
      <c r="A335" s="101">
        <v>89</v>
      </c>
      <c r="B335" s="71" t="s">
        <v>765</v>
      </c>
      <c r="C335" s="66" t="s">
        <v>84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79</v>
      </c>
      <c r="P335" s="66">
        <v>2024</v>
      </c>
      <c r="Q335" s="66" t="s">
        <v>37</v>
      </c>
      <c r="R335" s="66"/>
      <c r="S335" s="66"/>
      <c r="T335" s="70">
        <v>0.87</v>
      </c>
      <c r="U335" s="71" t="s">
        <v>136</v>
      </c>
    </row>
    <row r="336" spans="1:21" ht="44.4" hidden="1" customHeight="1">
      <c r="A336" s="106"/>
      <c r="B336" s="71" t="s">
        <v>765</v>
      </c>
      <c r="C336" s="66" t="s">
        <v>84</v>
      </c>
      <c r="D336" s="66" t="s">
        <v>23</v>
      </c>
      <c r="E336" s="81"/>
      <c r="F336" s="71" t="s">
        <v>101</v>
      </c>
      <c r="G336" s="71" t="s">
        <v>767</v>
      </c>
      <c r="H336" s="71" t="s">
        <v>768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97</v>
      </c>
      <c r="P336" s="66">
        <v>2025</v>
      </c>
      <c r="Q336" s="84" t="s">
        <v>37</v>
      </c>
      <c r="R336" s="87"/>
      <c r="S336" s="89"/>
      <c r="T336" s="80"/>
      <c r="U336" s="66" t="s">
        <v>154</v>
      </c>
    </row>
    <row r="337" spans="1:22" ht="155.4" hidden="1" customHeight="1">
      <c r="A337" s="106"/>
      <c r="B337" s="71" t="s">
        <v>765</v>
      </c>
      <c r="C337" s="66" t="s">
        <v>84</v>
      </c>
      <c r="D337" s="66" t="s">
        <v>23</v>
      </c>
      <c r="E337" s="81"/>
      <c r="F337" s="71" t="s">
        <v>244</v>
      </c>
      <c r="G337" s="71" t="s">
        <v>769</v>
      </c>
      <c r="H337" s="71" t="s">
        <v>770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97</v>
      </c>
      <c r="P337" s="66">
        <v>2023</v>
      </c>
      <c r="Q337" s="66"/>
      <c r="R337" s="66"/>
      <c r="S337" s="66"/>
      <c r="T337" s="70">
        <v>1</v>
      </c>
      <c r="U337" s="66" t="s">
        <v>69</v>
      </c>
    </row>
    <row r="338" spans="1:22" ht="13.8" hidden="1">
      <c r="A338" s="102"/>
      <c r="B338" s="71" t="s">
        <v>765</v>
      </c>
      <c r="C338" s="66" t="s">
        <v>84</v>
      </c>
      <c r="D338" s="66" t="s">
        <v>41</v>
      </c>
      <c r="E338" s="81" t="s">
        <v>771</v>
      </c>
      <c r="F338" s="71" t="s">
        <v>81</v>
      </c>
      <c r="G338" s="66" t="s">
        <v>772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73</v>
      </c>
      <c r="O338" s="71" t="s">
        <v>50</v>
      </c>
      <c r="P338" s="66">
        <v>2024</v>
      </c>
      <c r="Q338" s="66" t="s">
        <v>74</v>
      </c>
      <c r="R338" s="66"/>
      <c r="S338" s="66"/>
      <c r="T338" s="80">
        <v>1</v>
      </c>
      <c r="U338" s="71" t="s">
        <v>75</v>
      </c>
    </row>
    <row r="339" spans="1:22" ht="27.6" hidden="1">
      <c r="A339" s="68"/>
      <c r="B339" s="71" t="s">
        <v>773</v>
      </c>
      <c r="C339" s="66" t="s">
        <v>149</v>
      </c>
      <c r="D339" s="66" t="s">
        <v>23</v>
      </c>
      <c r="E339" s="81">
        <v>2022003050012</v>
      </c>
      <c r="F339" s="71" t="s">
        <v>774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36</v>
      </c>
      <c r="O339" s="71"/>
      <c r="P339" s="66"/>
      <c r="Q339" s="66"/>
      <c r="R339" s="66"/>
      <c r="S339" s="66"/>
      <c r="T339" s="80">
        <v>0.60429999999999995</v>
      </c>
      <c r="U339" s="71" t="s">
        <v>37</v>
      </c>
    </row>
    <row r="340" spans="1:22" ht="40.950000000000003" hidden="1" customHeight="1">
      <c r="A340" s="95">
        <v>90</v>
      </c>
      <c r="B340" s="71" t="s">
        <v>773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77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74</v>
      </c>
      <c r="R340" s="66"/>
      <c r="S340" s="66"/>
      <c r="T340" s="70">
        <v>1</v>
      </c>
      <c r="U340" s="66" t="s">
        <v>75</v>
      </c>
      <c r="V340" s="33"/>
    </row>
    <row r="341" spans="1:22" ht="20.399999999999999" hidden="1" customHeight="1">
      <c r="A341" s="95"/>
      <c r="B341" s="71" t="s">
        <v>773</v>
      </c>
      <c r="C341" s="66" t="s">
        <v>149</v>
      </c>
      <c r="D341" s="66" t="s">
        <v>41</v>
      </c>
      <c r="E341" s="81" t="s">
        <v>775</v>
      </c>
      <c r="F341" s="71" t="s">
        <v>265</v>
      </c>
      <c r="G341" s="66" t="s">
        <v>77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73</v>
      </c>
      <c r="O341" s="71" t="s">
        <v>50</v>
      </c>
      <c r="P341" s="66">
        <v>2025</v>
      </c>
      <c r="Q341" s="66" t="s">
        <v>37</v>
      </c>
      <c r="R341" s="66"/>
      <c r="S341" s="66"/>
      <c r="T341" s="70">
        <v>0.95</v>
      </c>
      <c r="U341" s="66"/>
      <c r="V341" s="33"/>
    </row>
    <row r="342" spans="1:22" ht="13.8" hidden="1">
      <c r="A342" s="95">
        <v>91</v>
      </c>
      <c r="B342" s="71" t="s">
        <v>776</v>
      </c>
      <c r="C342" s="66" t="s">
        <v>22</v>
      </c>
      <c r="D342" s="66" t="s">
        <v>41</v>
      </c>
      <c r="E342" s="81" t="s">
        <v>777</v>
      </c>
      <c r="F342" s="71" t="s">
        <v>265</v>
      </c>
      <c r="G342" s="66" t="s">
        <v>473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73</v>
      </c>
      <c r="O342" s="71" t="s">
        <v>50</v>
      </c>
      <c r="P342" s="66">
        <v>2024</v>
      </c>
      <c r="Q342" s="66" t="s">
        <v>74</v>
      </c>
      <c r="R342" s="66"/>
      <c r="S342" s="66"/>
      <c r="T342" s="80">
        <v>1</v>
      </c>
      <c r="U342" s="71" t="s">
        <v>69</v>
      </c>
    </row>
    <row r="343" spans="1:22" ht="13.8" hidden="1">
      <c r="A343" s="95"/>
      <c r="B343" s="71" t="s">
        <v>776</v>
      </c>
      <c r="C343" s="66" t="s">
        <v>22</v>
      </c>
      <c r="D343" s="66" t="s">
        <v>41</v>
      </c>
      <c r="E343" s="81" t="s">
        <v>778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73</v>
      </c>
      <c r="O343" s="71" t="s">
        <v>50</v>
      </c>
      <c r="P343" s="66">
        <v>2025</v>
      </c>
      <c r="Q343" s="66" t="s">
        <v>37</v>
      </c>
      <c r="R343" s="66"/>
      <c r="S343" s="66"/>
      <c r="T343" s="80">
        <v>0.6</v>
      </c>
      <c r="U343" s="71" t="s">
        <v>37</v>
      </c>
    </row>
    <row r="344" spans="1:22" ht="27.6" hidden="1">
      <c r="A344" s="95"/>
      <c r="B344" s="71" t="s">
        <v>776</v>
      </c>
      <c r="C344" s="66" t="s">
        <v>22</v>
      </c>
      <c r="D344" s="66" t="s">
        <v>174</v>
      </c>
      <c r="E344" s="81" t="s">
        <v>62</v>
      </c>
      <c r="F344" s="71" t="s">
        <v>779</v>
      </c>
      <c r="G344" s="66" t="s">
        <v>780</v>
      </c>
      <c r="H344" s="66" t="s">
        <v>780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36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 hidden="1">
      <c r="A345" s="95"/>
      <c r="B345" s="71" t="s">
        <v>776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781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82</v>
      </c>
    </row>
    <row r="346" spans="1:22" ht="27.6" hidden="1">
      <c r="A346" s="95"/>
      <c r="B346" s="71" t="s">
        <v>776</v>
      </c>
      <c r="C346" s="66" t="s">
        <v>22</v>
      </c>
      <c r="D346" s="66" t="s">
        <v>23</v>
      </c>
      <c r="E346" s="81"/>
      <c r="F346" s="71" t="s">
        <v>782</v>
      </c>
      <c r="G346" s="66" t="s">
        <v>783</v>
      </c>
      <c r="H346" s="66" t="s">
        <v>784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97</v>
      </c>
      <c r="P346" s="66">
        <v>2023</v>
      </c>
      <c r="Q346" s="66"/>
      <c r="R346" s="66"/>
      <c r="S346" s="66"/>
      <c r="T346" s="80">
        <v>1</v>
      </c>
      <c r="U346" s="71" t="s">
        <v>69</v>
      </c>
    </row>
    <row r="347" spans="1:22" ht="27.6" hidden="1">
      <c r="A347" s="95"/>
      <c r="B347" s="71" t="s">
        <v>776</v>
      </c>
      <c r="C347" s="66"/>
      <c r="D347" s="66"/>
      <c r="E347" s="81"/>
      <c r="F347" s="71" t="s">
        <v>785</v>
      </c>
      <c r="G347" s="66" t="s">
        <v>786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99</v>
      </c>
      <c r="O347" s="71" t="s">
        <v>79</v>
      </c>
      <c r="P347" s="66"/>
      <c r="Q347" s="66"/>
      <c r="R347" s="66"/>
      <c r="S347" s="66"/>
      <c r="T347" s="80">
        <v>0</v>
      </c>
      <c r="U347" s="71" t="s">
        <v>787</v>
      </c>
    </row>
    <row r="348" spans="1:22" ht="13.8" hidden="1">
      <c r="A348" s="95"/>
      <c r="B348" s="71" t="s">
        <v>776</v>
      </c>
      <c r="C348" s="66" t="s">
        <v>22</v>
      </c>
      <c r="D348" s="66" t="s">
        <v>41</v>
      </c>
      <c r="E348" s="81">
        <v>2024003050239</v>
      </c>
      <c r="F348" s="71" t="s">
        <v>76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36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69</v>
      </c>
    </row>
    <row r="349" spans="1:22" ht="61.2" hidden="1" customHeight="1">
      <c r="A349" s="95">
        <v>92</v>
      </c>
      <c r="B349" s="71" t="s">
        <v>788</v>
      </c>
      <c r="C349" s="66" t="s">
        <v>22</v>
      </c>
      <c r="D349" s="66" t="s">
        <v>41</v>
      </c>
      <c r="E349" s="81">
        <v>2025003050022</v>
      </c>
      <c r="F349" s="71" t="s">
        <v>789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36</v>
      </c>
      <c r="O349" s="2" t="s">
        <v>44</v>
      </c>
      <c r="P349" s="66">
        <v>2025</v>
      </c>
      <c r="Q349" s="66" t="s">
        <v>37</v>
      </c>
      <c r="R349" s="66"/>
      <c r="S349" s="66"/>
      <c r="T349" s="70">
        <v>0.26</v>
      </c>
      <c r="U349" s="71"/>
    </row>
    <row r="350" spans="1:22" ht="61.2" hidden="1" customHeight="1">
      <c r="A350" s="95"/>
      <c r="B350" s="71" t="s">
        <v>788</v>
      </c>
      <c r="C350" s="66" t="s">
        <v>22</v>
      </c>
      <c r="D350" s="66" t="s">
        <v>790</v>
      </c>
      <c r="E350" s="81">
        <v>4600017623</v>
      </c>
      <c r="F350" s="71" t="s">
        <v>208</v>
      </c>
      <c r="G350" s="66" t="s">
        <v>791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82</v>
      </c>
    </row>
    <row r="351" spans="1:22" ht="13.8" hidden="1">
      <c r="A351" s="95"/>
      <c r="B351" s="71" t="s">
        <v>788</v>
      </c>
      <c r="C351" s="66" t="s">
        <v>22</v>
      </c>
      <c r="D351" s="66" t="s">
        <v>41</v>
      </c>
      <c r="E351" s="81" t="s">
        <v>792</v>
      </c>
      <c r="F351" s="71" t="s">
        <v>81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73</v>
      </c>
      <c r="O351" s="69" t="s">
        <v>50</v>
      </c>
      <c r="P351" s="66">
        <v>2024</v>
      </c>
      <c r="Q351" s="66" t="s">
        <v>74</v>
      </c>
      <c r="R351" s="66"/>
      <c r="S351" s="66"/>
      <c r="T351" s="70">
        <v>1</v>
      </c>
      <c r="U351" s="66" t="s">
        <v>82</v>
      </c>
    </row>
    <row r="352" spans="1:22" ht="94.2" hidden="1" customHeight="1">
      <c r="A352" s="95">
        <v>93</v>
      </c>
      <c r="B352" s="71" t="s">
        <v>793</v>
      </c>
      <c r="C352" s="66" t="s">
        <v>40</v>
      </c>
      <c r="D352" s="66" t="s">
        <v>23</v>
      </c>
      <c r="E352" s="81" t="s">
        <v>491</v>
      </c>
      <c r="F352" s="71" t="s">
        <v>492</v>
      </c>
      <c r="G352" s="71" t="s">
        <v>794</v>
      </c>
      <c r="H352" s="71" t="s">
        <v>795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495</v>
      </c>
      <c r="O352" s="69" t="s">
        <v>97</v>
      </c>
      <c r="P352" s="66">
        <v>2023</v>
      </c>
      <c r="Q352" s="66" t="s">
        <v>74</v>
      </c>
      <c r="R352" s="66"/>
      <c r="S352" s="66"/>
      <c r="T352" s="70">
        <v>1</v>
      </c>
      <c r="U352" s="66" t="s">
        <v>75</v>
      </c>
    </row>
    <row r="353" spans="1:21" ht="94.2" hidden="1" customHeight="1">
      <c r="A353" s="95"/>
      <c r="B353" s="71" t="s">
        <v>793</v>
      </c>
      <c r="C353" s="66" t="s">
        <v>40</v>
      </c>
      <c r="D353" s="66" t="s">
        <v>23</v>
      </c>
      <c r="E353" s="81"/>
      <c r="F353" s="71" t="s">
        <v>151</v>
      </c>
      <c r="G353" s="71" t="s">
        <v>796</v>
      </c>
      <c r="H353" s="71" t="s">
        <v>797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97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hidden="1" customHeight="1">
      <c r="A354" s="95"/>
      <c r="B354" s="71" t="s">
        <v>793</v>
      </c>
      <c r="C354" s="66" t="s">
        <v>40</v>
      </c>
      <c r="D354" s="66" t="s">
        <v>41</v>
      </c>
      <c r="E354" s="81" t="s">
        <v>798</v>
      </c>
      <c r="F354" s="71" t="s">
        <v>265</v>
      </c>
      <c r="G354" s="71" t="s">
        <v>534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73</v>
      </c>
      <c r="O354" s="71" t="s">
        <v>50</v>
      </c>
      <c r="P354" s="66">
        <v>2025</v>
      </c>
      <c r="Q354" s="66" t="s">
        <v>37</v>
      </c>
      <c r="R354" s="66"/>
      <c r="S354" s="66"/>
      <c r="T354" s="70">
        <v>0.7</v>
      </c>
      <c r="U354" s="66" t="s">
        <v>37</v>
      </c>
    </row>
    <row r="355" spans="1:21" ht="46.95" hidden="1" customHeight="1">
      <c r="A355" s="95"/>
      <c r="B355" s="71" t="s">
        <v>793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799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79</v>
      </c>
      <c r="P355" s="66">
        <v>2024</v>
      </c>
      <c r="Q355" s="66" t="s">
        <v>37</v>
      </c>
      <c r="R355" s="66"/>
      <c r="S355" s="66"/>
      <c r="T355" s="70">
        <v>0.87</v>
      </c>
      <c r="U355" s="71" t="s">
        <v>136</v>
      </c>
    </row>
    <row r="356" spans="1:21" ht="13.8" hidden="1">
      <c r="A356" s="95"/>
      <c r="B356" s="71" t="s">
        <v>793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800</v>
      </c>
      <c r="H356" s="71" t="s">
        <v>800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36</v>
      </c>
      <c r="O356" s="71" t="s">
        <v>29</v>
      </c>
      <c r="P356" s="66">
        <v>2026</v>
      </c>
      <c r="Q356" s="66" t="s">
        <v>565</v>
      </c>
      <c r="R356" s="66"/>
      <c r="S356" s="66"/>
      <c r="T356" s="70"/>
      <c r="U356" s="66" t="s">
        <v>370</v>
      </c>
    </row>
    <row r="357" spans="1:21" ht="13.8" hidden="1">
      <c r="A357" s="95"/>
      <c r="B357" s="71" t="s">
        <v>793</v>
      </c>
      <c r="C357" s="66" t="s">
        <v>40</v>
      </c>
      <c r="D357" s="66" t="s">
        <v>41</v>
      </c>
      <c r="E357" s="81" t="s">
        <v>801</v>
      </c>
      <c r="F357" s="71" t="s">
        <v>81</v>
      </c>
      <c r="G357" s="66" t="s">
        <v>77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73</v>
      </c>
      <c r="O357" s="71" t="s">
        <v>50</v>
      </c>
      <c r="P357" s="66">
        <v>2024</v>
      </c>
      <c r="Q357" s="66" t="s">
        <v>74</v>
      </c>
      <c r="R357" s="66"/>
      <c r="S357" s="66"/>
      <c r="T357" s="80">
        <v>1</v>
      </c>
      <c r="U357" s="71" t="s">
        <v>69</v>
      </c>
    </row>
    <row r="358" spans="1:21" ht="81.599999999999994" hidden="1" customHeight="1">
      <c r="A358" s="66"/>
      <c r="B358" s="71" t="s">
        <v>802</v>
      </c>
      <c r="C358" s="66" t="s">
        <v>149</v>
      </c>
      <c r="D358" s="66" t="s">
        <v>790</v>
      </c>
      <c r="E358" s="81" t="s">
        <v>491</v>
      </c>
      <c r="F358" s="76" t="s">
        <v>803</v>
      </c>
      <c r="G358" s="71" t="s">
        <v>493</v>
      </c>
      <c r="H358" s="71" t="s">
        <v>494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495</v>
      </c>
      <c r="O358" s="71" t="s">
        <v>97</v>
      </c>
      <c r="P358" s="66">
        <v>2023</v>
      </c>
      <c r="Q358" s="66" t="s">
        <v>74</v>
      </c>
      <c r="R358" s="66"/>
      <c r="S358" s="66"/>
      <c r="T358" s="40">
        <v>1</v>
      </c>
      <c r="U358" s="66" t="s">
        <v>385</v>
      </c>
    </row>
    <row r="359" spans="1:21" ht="81.599999999999994" hidden="1" customHeight="1">
      <c r="A359" s="66"/>
      <c r="B359" s="71" t="s">
        <v>802</v>
      </c>
      <c r="C359" s="66" t="s">
        <v>149</v>
      </c>
      <c r="D359" s="66" t="s">
        <v>174</v>
      </c>
      <c r="E359" s="81" t="s">
        <v>62</v>
      </c>
      <c r="F359" s="76" t="s">
        <v>804</v>
      </c>
      <c r="G359" s="71" t="s">
        <v>805</v>
      </c>
      <c r="H359" s="71" t="s">
        <v>805</v>
      </c>
      <c r="I359" s="71"/>
      <c r="J359" s="71"/>
      <c r="K359" s="79" t="s">
        <v>806</v>
      </c>
      <c r="L359" s="79">
        <v>0</v>
      </c>
      <c r="M359" s="3" t="s">
        <v>806</v>
      </c>
      <c r="N359" s="66" t="s">
        <v>36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hidden="1" customHeight="1">
      <c r="A360" s="48">
        <v>94</v>
      </c>
      <c r="B360" s="71" t="s">
        <v>802</v>
      </c>
      <c r="C360" s="66" t="s">
        <v>149</v>
      </c>
      <c r="D360" s="66" t="s">
        <v>23</v>
      </c>
      <c r="E360" s="81"/>
      <c r="F360" s="71" t="s">
        <v>101</v>
      </c>
      <c r="G360" s="71" t="s">
        <v>807</v>
      </c>
      <c r="H360" s="71" t="s">
        <v>808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97</v>
      </c>
      <c r="P360" s="66">
        <v>2025</v>
      </c>
      <c r="Q360" s="66" t="s">
        <v>37</v>
      </c>
      <c r="R360" s="87"/>
      <c r="S360" s="89"/>
      <c r="T360" s="80"/>
      <c r="U360" s="66" t="s">
        <v>154</v>
      </c>
    </row>
    <row r="361" spans="1:21" ht="27.6" hidden="1">
      <c r="A361" s="48"/>
      <c r="B361" s="71" t="s">
        <v>802</v>
      </c>
      <c r="C361" s="66" t="s">
        <v>149</v>
      </c>
      <c r="D361" s="66" t="s">
        <v>41</v>
      </c>
      <c r="E361" s="81" t="s">
        <v>809</v>
      </c>
      <c r="F361" s="71" t="s">
        <v>81</v>
      </c>
      <c r="G361" s="66" t="s">
        <v>810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73</v>
      </c>
      <c r="O361" s="71" t="s">
        <v>50</v>
      </c>
      <c r="P361" s="66">
        <v>2024</v>
      </c>
      <c r="Q361" s="66" t="s">
        <v>74</v>
      </c>
      <c r="R361" s="66"/>
      <c r="S361" s="66"/>
      <c r="T361" s="80">
        <v>1</v>
      </c>
      <c r="U361" s="71" t="s">
        <v>69</v>
      </c>
    </row>
    <row r="362" spans="1:21" ht="27.6" hidden="1">
      <c r="A362" s="48"/>
      <c r="B362" s="71" t="s">
        <v>802</v>
      </c>
      <c r="C362" s="66" t="s">
        <v>149</v>
      </c>
      <c r="D362" s="66" t="s">
        <v>41</v>
      </c>
      <c r="E362" s="81">
        <v>2025003050014</v>
      </c>
      <c r="F362" s="71" t="s">
        <v>811</v>
      </c>
      <c r="G362" s="66" t="s">
        <v>812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36</v>
      </c>
      <c r="O362" s="2" t="s">
        <v>44</v>
      </c>
      <c r="P362" s="66">
        <v>2025</v>
      </c>
      <c r="Q362" s="66" t="s">
        <v>74</v>
      </c>
      <c r="R362" s="66"/>
      <c r="S362" s="66"/>
      <c r="T362" s="80">
        <v>1</v>
      </c>
      <c r="U362" s="71" t="s">
        <v>75</v>
      </c>
    </row>
    <row r="363" spans="1:21" ht="13.8" hidden="1">
      <c r="A363" s="95"/>
      <c r="B363" s="71" t="s">
        <v>813</v>
      </c>
      <c r="C363" s="66" t="s">
        <v>181</v>
      </c>
      <c r="D363" s="66" t="s">
        <v>41</v>
      </c>
      <c r="E363" s="81">
        <v>2025003050010</v>
      </c>
      <c r="F363" s="71" t="s">
        <v>814</v>
      </c>
      <c r="G363" s="66" t="s">
        <v>77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36</v>
      </c>
      <c r="O363" s="2" t="s">
        <v>44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 hidden="1">
      <c r="A364" s="95"/>
      <c r="B364" s="71" t="s">
        <v>813</v>
      </c>
      <c r="C364" s="66" t="s">
        <v>181</v>
      </c>
      <c r="D364" s="66" t="s">
        <v>41</v>
      </c>
      <c r="E364" s="81" t="s">
        <v>815</v>
      </c>
      <c r="F364" s="71" t="s">
        <v>81</v>
      </c>
      <c r="G364" s="66" t="s">
        <v>816</v>
      </c>
      <c r="H364" s="66" t="s">
        <v>816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73</v>
      </c>
      <c r="O364" s="71" t="s">
        <v>50</v>
      </c>
      <c r="P364" s="66">
        <v>2024</v>
      </c>
      <c r="Q364" s="66" t="s">
        <v>74</v>
      </c>
      <c r="R364" s="66"/>
      <c r="S364" s="66"/>
      <c r="T364" s="70">
        <v>1</v>
      </c>
      <c r="U364" s="66" t="s">
        <v>69</v>
      </c>
    </row>
    <row r="365" spans="1:21" ht="13.8" hidden="1">
      <c r="A365" s="68">
        <v>96</v>
      </c>
      <c r="B365" s="71" t="s">
        <v>817</v>
      </c>
      <c r="C365" s="66" t="s">
        <v>22</v>
      </c>
      <c r="D365" s="66" t="s">
        <v>41</v>
      </c>
      <c r="E365" s="81" t="s">
        <v>818</v>
      </c>
      <c r="F365" s="71" t="s">
        <v>81</v>
      </c>
      <c r="G365" s="66" t="s">
        <v>505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73</v>
      </c>
      <c r="O365" s="71" t="s">
        <v>50</v>
      </c>
      <c r="P365" s="66">
        <v>2024</v>
      </c>
      <c r="Q365" s="66" t="s">
        <v>37</v>
      </c>
      <c r="R365" s="66"/>
      <c r="S365" s="66"/>
      <c r="T365" s="70">
        <v>0.7</v>
      </c>
      <c r="U365" s="66"/>
    </row>
    <row r="366" spans="1:21" ht="13.8" hidden="1">
      <c r="A366" s="68"/>
      <c r="B366" s="71" t="s">
        <v>817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819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82</v>
      </c>
    </row>
    <row r="367" spans="1:21" ht="13.8" hidden="1">
      <c r="A367" s="66">
        <v>96</v>
      </c>
      <c r="B367" s="71" t="s">
        <v>817</v>
      </c>
      <c r="C367" s="66" t="s">
        <v>22</v>
      </c>
      <c r="D367" s="66" t="s">
        <v>41</v>
      </c>
      <c r="E367" s="81">
        <v>2024003050243</v>
      </c>
      <c r="F367" s="71" t="s">
        <v>76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36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 hidden="1">
      <c r="A368" s="101">
        <v>97</v>
      </c>
      <c r="B368" s="71" t="s">
        <v>820</v>
      </c>
      <c r="C368" s="66" t="s">
        <v>149</v>
      </c>
      <c r="D368" s="66" t="s">
        <v>23</v>
      </c>
      <c r="E368" s="81" t="s">
        <v>491</v>
      </c>
      <c r="F368" s="71" t="s">
        <v>492</v>
      </c>
      <c r="G368" s="71" t="s">
        <v>821</v>
      </c>
      <c r="H368" s="71" t="s">
        <v>822</v>
      </c>
      <c r="I368" s="71"/>
      <c r="J368" s="71"/>
      <c r="K368" s="79"/>
      <c r="L368" s="79"/>
      <c r="M368" s="2">
        <v>37775453509</v>
      </c>
      <c r="N368" s="79" t="s">
        <v>495</v>
      </c>
      <c r="O368" s="69" t="s">
        <v>97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 hidden="1">
      <c r="A369" s="106"/>
      <c r="B369" s="71" t="s">
        <v>820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823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79</v>
      </c>
      <c r="P369" s="66">
        <v>2024</v>
      </c>
      <c r="Q369" s="66" t="s">
        <v>37</v>
      </c>
      <c r="R369" s="66"/>
      <c r="S369" s="66"/>
      <c r="T369" s="70">
        <v>0.87</v>
      </c>
      <c r="U369" s="71" t="s">
        <v>136</v>
      </c>
    </row>
    <row r="370" spans="1:21" ht="27.6" hidden="1">
      <c r="A370" s="106"/>
      <c r="B370" s="71" t="s">
        <v>820</v>
      </c>
      <c r="C370" s="66" t="s">
        <v>149</v>
      </c>
      <c r="D370" s="66" t="s">
        <v>23</v>
      </c>
      <c r="E370" s="81"/>
      <c r="F370" s="71" t="s">
        <v>151</v>
      </c>
      <c r="G370" s="71" t="s">
        <v>796</v>
      </c>
      <c r="H370" s="71" t="s">
        <v>797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97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 hidden="1">
      <c r="A371" s="106"/>
      <c r="B371" s="71" t="s">
        <v>820</v>
      </c>
      <c r="C371" s="66" t="s">
        <v>149</v>
      </c>
      <c r="D371" s="66" t="s">
        <v>41</v>
      </c>
      <c r="E371" s="81" t="s">
        <v>824</v>
      </c>
      <c r="F371" s="71" t="s">
        <v>81</v>
      </c>
      <c r="G371" s="66" t="s">
        <v>77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73</v>
      </c>
      <c r="O371" s="2" t="s">
        <v>50</v>
      </c>
      <c r="P371" s="66">
        <v>2024</v>
      </c>
      <c r="Q371" s="66" t="s">
        <v>74</v>
      </c>
      <c r="R371" s="66"/>
      <c r="S371" s="66"/>
      <c r="T371" s="70">
        <v>1</v>
      </c>
      <c r="U371" s="66" t="s">
        <v>69</v>
      </c>
    </row>
    <row r="372" spans="1:21" ht="27.6" hidden="1">
      <c r="A372" s="102"/>
      <c r="B372" s="71" t="s">
        <v>820</v>
      </c>
      <c r="C372" s="66" t="s">
        <v>149</v>
      </c>
      <c r="D372" s="66" t="s">
        <v>41</v>
      </c>
      <c r="E372" s="81">
        <v>2024003050245</v>
      </c>
      <c r="F372" s="71" t="s">
        <v>76</v>
      </c>
      <c r="G372" s="66" t="s">
        <v>825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36</v>
      </c>
      <c r="O372" s="2" t="s">
        <v>44</v>
      </c>
      <c r="P372" s="66">
        <v>2024</v>
      </c>
      <c r="Q372" s="66" t="s">
        <v>37</v>
      </c>
      <c r="R372" s="66"/>
      <c r="S372" s="66"/>
      <c r="T372" s="70">
        <v>0.55000000000000004</v>
      </c>
      <c r="U372" s="71"/>
    </row>
    <row r="373" spans="1:21" ht="148.94999999999999" hidden="1" customHeight="1">
      <c r="A373" s="95">
        <v>98</v>
      </c>
      <c r="B373" s="71" t="s">
        <v>826</v>
      </c>
      <c r="C373" s="66" t="s">
        <v>181</v>
      </c>
      <c r="D373" s="66" t="s">
        <v>23</v>
      </c>
      <c r="E373" s="81"/>
      <c r="F373" s="71" t="s">
        <v>827</v>
      </c>
      <c r="G373" s="71" t="s">
        <v>828</v>
      </c>
      <c r="H373" s="71" t="s">
        <v>829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97</v>
      </c>
      <c r="P373" s="66">
        <v>2023</v>
      </c>
      <c r="Q373" s="66"/>
      <c r="R373" s="66"/>
      <c r="S373" s="66"/>
      <c r="T373" s="70">
        <v>1</v>
      </c>
      <c r="U373" s="66" t="s">
        <v>82</v>
      </c>
    </row>
    <row r="374" spans="1:21" ht="40.200000000000003" hidden="1" customHeight="1">
      <c r="A374" s="95"/>
      <c r="B374" s="71" t="s">
        <v>826</v>
      </c>
      <c r="C374" s="66" t="s">
        <v>181</v>
      </c>
      <c r="D374" s="66" t="s">
        <v>23</v>
      </c>
      <c r="E374" s="81"/>
      <c r="F374" s="71" t="s">
        <v>101</v>
      </c>
      <c r="G374" s="71" t="s">
        <v>830</v>
      </c>
      <c r="H374" s="71" t="s">
        <v>831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97</v>
      </c>
      <c r="P374" s="66">
        <v>2025</v>
      </c>
      <c r="Q374" s="66" t="s">
        <v>37</v>
      </c>
      <c r="R374" s="87"/>
      <c r="S374" s="89"/>
      <c r="T374" s="80"/>
      <c r="U374" s="66" t="s">
        <v>154</v>
      </c>
    </row>
    <row r="375" spans="1:21" ht="34.950000000000003" hidden="1" customHeight="1">
      <c r="A375" s="95"/>
      <c r="B375" s="71" t="s">
        <v>826</v>
      </c>
      <c r="C375" s="66" t="s">
        <v>181</v>
      </c>
      <c r="D375" s="66" t="s">
        <v>23</v>
      </c>
      <c r="E375" s="81"/>
      <c r="F375" s="71" t="s">
        <v>101</v>
      </c>
      <c r="G375" s="71" t="s">
        <v>832</v>
      </c>
      <c r="H375" s="71" t="s">
        <v>833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97</v>
      </c>
      <c r="P375" s="66">
        <v>2025</v>
      </c>
      <c r="Q375" s="66" t="s">
        <v>37</v>
      </c>
      <c r="R375" s="87"/>
      <c r="S375" s="89"/>
      <c r="T375" s="80"/>
      <c r="U375" s="66" t="s">
        <v>154</v>
      </c>
    </row>
    <row r="376" spans="1:21" ht="37.950000000000003" hidden="1" customHeight="1">
      <c r="A376" s="95"/>
      <c r="B376" s="71" t="s">
        <v>826</v>
      </c>
      <c r="C376" s="66" t="s">
        <v>181</v>
      </c>
      <c r="D376" s="66" t="s">
        <v>23</v>
      </c>
      <c r="E376" s="81"/>
      <c r="F376" s="71" t="s">
        <v>101</v>
      </c>
      <c r="G376" s="71" t="s">
        <v>834</v>
      </c>
      <c r="H376" s="71" t="s">
        <v>835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97</v>
      </c>
      <c r="P376" s="66">
        <v>2025</v>
      </c>
      <c r="Q376" s="66" t="s">
        <v>37</v>
      </c>
      <c r="R376" s="87"/>
      <c r="S376" s="89"/>
      <c r="T376" s="80"/>
      <c r="U376" s="71" t="s">
        <v>705</v>
      </c>
    </row>
    <row r="377" spans="1:21" ht="122.4" hidden="1" customHeight="1">
      <c r="A377" s="95"/>
      <c r="B377" s="71" t="s">
        <v>826</v>
      </c>
      <c r="C377" s="66" t="s">
        <v>181</v>
      </c>
      <c r="D377" s="66" t="s">
        <v>23</v>
      </c>
      <c r="E377" s="81"/>
      <c r="F377" s="71" t="s">
        <v>836</v>
      </c>
      <c r="G377" s="71" t="s">
        <v>837</v>
      </c>
      <c r="H377" s="71" t="s">
        <v>837</v>
      </c>
      <c r="I377" s="71"/>
      <c r="J377" s="71"/>
      <c r="K377" s="79"/>
      <c r="L377" s="79"/>
      <c r="M377" s="69">
        <v>26983903880</v>
      </c>
      <c r="N377" s="2" t="s">
        <v>838</v>
      </c>
      <c r="O377" s="2" t="s">
        <v>97</v>
      </c>
      <c r="P377" s="66"/>
      <c r="Q377" s="66"/>
      <c r="R377" s="66"/>
      <c r="S377" s="66"/>
      <c r="T377" s="70"/>
      <c r="U377" s="71" t="s">
        <v>839</v>
      </c>
    </row>
    <row r="378" spans="1:21" ht="61.2" hidden="1" customHeight="1">
      <c r="A378" s="95"/>
      <c r="B378" s="71" t="s">
        <v>826</v>
      </c>
      <c r="C378" s="66" t="s">
        <v>181</v>
      </c>
      <c r="D378" s="66" t="s">
        <v>174</v>
      </c>
      <c r="E378" s="81" t="s">
        <v>62</v>
      </c>
      <c r="F378" s="71" t="s">
        <v>175</v>
      </c>
      <c r="G378" s="71" t="s">
        <v>840</v>
      </c>
      <c r="H378" s="71" t="s">
        <v>840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36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hidden="1" customHeight="1">
      <c r="A379" s="95"/>
      <c r="B379" s="71" t="s">
        <v>826</v>
      </c>
      <c r="C379" s="66" t="s">
        <v>181</v>
      </c>
      <c r="D379" s="66" t="s">
        <v>174</v>
      </c>
      <c r="E379" s="81" t="s">
        <v>62</v>
      </c>
      <c r="F379" s="71" t="s">
        <v>175</v>
      </c>
      <c r="G379" s="71" t="s">
        <v>841</v>
      </c>
      <c r="H379" s="71" t="s">
        <v>841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36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842</v>
      </c>
    </row>
    <row r="380" spans="1:21" ht="61.2" hidden="1" customHeight="1">
      <c r="A380" s="95"/>
      <c r="B380" s="71" t="s">
        <v>826</v>
      </c>
      <c r="C380" s="66" t="s">
        <v>181</v>
      </c>
      <c r="D380" s="66" t="s">
        <v>23</v>
      </c>
      <c r="E380" s="81"/>
      <c r="F380" s="71" t="s">
        <v>843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97</v>
      </c>
      <c r="P380" s="66">
        <v>2025</v>
      </c>
      <c r="Q380" s="66"/>
      <c r="R380" s="66"/>
      <c r="S380" s="66"/>
      <c r="T380" s="70"/>
      <c r="U380" s="71" t="s">
        <v>844</v>
      </c>
    </row>
    <row r="381" spans="1:21" ht="13.8" hidden="1">
      <c r="A381" s="95"/>
      <c r="B381" s="71" t="s">
        <v>826</v>
      </c>
      <c r="C381" s="66" t="s">
        <v>181</v>
      </c>
      <c r="D381" s="66" t="s">
        <v>41</v>
      </c>
      <c r="E381" s="81" t="s">
        <v>845</v>
      </c>
      <c r="F381" s="71" t="s">
        <v>846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73</v>
      </c>
      <c r="O381" s="2" t="s">
        <v>50</v>
      </c>
      <c r="P381" s="66">
        <v>2025</v>
      </c>
      <c r="Q381" s="66" t="s">
        <v>37</v>
      </c>
      <c r="R381" s="66"/>
      <c r="S381" s="66"/>
      <c r="T381" s="70">
        <v>0.2</v>
      </c>
      <c r="U381" s="71"/>
    </row>
    <row r="382" spans="1:21" ht="13.8" hidden="1">
      <c r="A382" s="95"/>
      <c r="B382" s="71" t="s">
        <v>826</v>
      </c>
      <c r="C382" s="66" t="s">
        <v>181</v>
      </c>
      <c r="D382" s="66" t="s">
        <v>41</v>
      </c>
      <c r="E382" s="81" t="s">
        <v>847</v>
      </c>
      <c r="F382" s="71" t="s">
        <v>848</v>
      </c>
      <c r="G382" s="66" t="s">
        <v>77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73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 hidden="1">
      <c r="A383" s="95"/>
      <c r="B383" s="71" t="s">
        <v>826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849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850</v>
      </c>
    </row>
    <row r="384" spans="1:21" ht="13.8" hidden="1">
      <c r="A384" s="95"/>
      <c r="B384" s="71" t="s">
        <v>826</v>
      </c>
      <c r="C384" s="66" t="s">
        <v>181</v>
      </c>
      <c r="D384" s="66" t="s">
        <v>41</v>
      </c>
      <c r="E384" s="81" t="s">
        <v>851</v>
      </c>
      <c r="F384" s="71" t="s">
        <v>852</v>
      </c>
      <c r="G384" s="66" t="s">
        <v>77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73</v>
      </c>
      <c r="O384" s="71" t="s">
        <v>50</v>
      </c>
      <c r="P384" s="66">
        <v>2024</v>
      </c>
      <c r="Q384" s="66" t="s">
        <v>37</v>
      </c>
      <c r="R384" s="66"/>
      <c r="S384" s="66"/>
      <c r="T384" s="80">
        <v>0.9</v>
      </c>
      <c r="U384" s="71"/>
    </row>
    <row r="385" spans="1:21" ht="27.6" hidden="1">
      <c r="A385" s="102">
        <v>99</v>
      </c>
      <c r="B385" s="71" t="s">
        <v>853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87"/>
      <c r="S385" s="89"/>
      <c r="T385" s="80"/>
      <c r="U385" s="76" t="s">
        <v>60</v>
      </c>
    </row>
    <row r="386" spans="1:21" ht="163.19999999999999" hidden="1" customHeight="1">
      <c r="A386" s="95"/>
      <c r="B386" s="71" t="s">
        <v>854</v>
      </c>
      <c r="C386" s="66" t="s">
        <v>22</v>
      </c>
      <c r="D386" s="66" t="s">
        <v>23</v>
      </c>
      <c r="E386" s="81">
        <v>20240214000263</v>
      </c>
      <c r="F386" s="71" t="s">
        <v>855</v>
      </c>
      <c r="G386" s="66" t="s">
        <v>856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99</v>
      </c>
      <c r="O386" s="71" t="s">
        <v>62</v>
      </c>
      <c r="P386" s="66">
        <v>2024</v>
      </c>
      <c r="Q386" s="66"/>
      <c r="R386" s="66"/>
      <c r="S386" s="66"/>
      <c r="T386" s="80">
        <v>0.09</v>
      </c>
      <c r="U386" s="71" t="s">
        <v>37</v>
      </c>
    </row>
    <row r="387" spans="1:21" ht="61.2" hidden="1" customHeight="1">
      <c r="A387" s="95"/>
      <c r="B387" s="71" t="s">
        <v>854</v>
      </c>
      <c r="C387" s="66" t="s">
        <v>22</v>
      </c>
      <c r="D387" s="66" t="s">
        <v>41</v>
      </c>
      <c r="E387" s="81">
        <v>2025003050021</v>
      </c>
      <c r="F387" s="71" t="s">
        <v>81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36</v>
      </c>
      <c r="O387" s="2" t="s">
        <v>44</v>
      </c>
      <c r="P387" s="66">
        <v>2025</v>
      </c>
      <c r="Q387" s="66" t="s">
        <v>37</v>
      </c>
      <c r="R387" s="66"/>
      <c r="S387" s="66"/>
      <c r="T387" s="80">
        <v>0.75</v>
      </c>
      <c r="U387" s="71"/>
    </row>
    <row r="388" spans="1:21" ht="13.8" hidden="1">
      <c r="A388" s="95"/>
      <c r="B388" s="71" t="s">
        <v>854</v>
      </c>
      <c r="C388" s="66" t="s">
        <v>22</v>
      </c>
      <c r="D388" s="66" t="s">
        <v>41</v>
      </c>
      <c r="E388" s="81" t="s">
        <v>857</v>
      </c>
      <c r="F388" s="71" t="s">
        <v>81</v>
      </c>
      <c r="G388" s="66" t="s">
        <v>77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73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82</v>
      </c>
    </row>
    <row r="389" spans="1:21" ht="13.8" hidden="1">
      <c r="A389" s="95"/>
      <c r="B389" s="71" t="s">
        <v>853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858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 hidden="1">
      <c r="A390" s="95"/>
      <c r="B390" s="71" t="s">
        <v>853</v>
      </c>
      <c r="C390" s="66" t="s">
        <v>22</v>
      </c>
      <c r="D390" s="66" t="s">
        <v>41</v>
      </c>
      <c r="E390" s="81" t="s">
        <v>859</v>
      </c>
      <c r="F390" s="71" t="s">
        <v>860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75</v>
      </c>
    </row>
    <row r="391" spans="1:21" ht="13.8" hidden="1">
      <c r="A391" s="95"/>
      <c r="B391" s="71" t="s">
        <v>853</v>
      </c>
      <c r="C391" s="66" t="s">
        <v>22</v>
      </c>
      <c r="D391" s="66" t="s">
        <v>174</v>
      </c>
      <c r="E391" s="81" t="s">
        <v>62</v>
      </c>
      <c r="F391" s="71" t="s">
        <v>644</v>
      </c>
      <c r="G391" s="66" t="s">
        <v>861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 hidden="1">
      <c r="A392" s="95"/>
      <c r="B392" s="66" t="s">
        <v>853</v>
      </c>
      <c r="C392" s="66" t="s">
        <v>22</v>
      </c>
      <c r="D392" s="66" t="s">
        <v>41</v>
      </c>
      <c r="E392" s="81" t="s">
        <v>862</v>
      </c>
      <c r="F392" s="71" t="s">
        <v>81</v>
      </c>
      <c r="G392" s="66" t="s">
        <v>77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73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75</v>
      </c>
    </row>
    <row r="393" spans="1:21" ht="148.19999999999999" hidden="1" customHeight="1">
      <c r="A393" s="66"/>
      <c r="B393" s="66" t="s">
        <v>863</v>
      </c>
      <c r="C393" s="66" t="s">
        <v>91</v>
      </c>
      <c r="D393" s="66" t="s">
        <v>23</v>
      </c>
      <c r="E393" s="81"/>
      <c r="F393" s="71" t="s">
        <v>95</v>
      </c>
      <c r="G393" s="71" t="s">
        <v>864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97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82</v>
      </c>
    </row>
    <row r="394" spans="1:21" ht="58.2" hidden="1" customHeight="1">
      <c r="A394" s="95">
        <v>100</v>
      </c>
      <c r="B394" s="66" t="s">
        <v>863</v>
      </c>
      <c r="C394" s="66" t="s">
        <v>91</v>
      </c>
      <c r="D394" s="66" t="s">
        <v>23</v>
      </c>
      <c r="E394" s="81"/>
      <c r="F394" s="71" t="s">
        <v>101</v>
      </c>
      <c r="G394" s="71" t="s">
        <v>865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97</v>
      </c>
      <c r="P394" s="66">
        <v>2025</v>
      </c>
      <c r="Q394" s="66" t="s">
        <v>37</v>
      </c>
      <c r="R394" s="87"/>
      <c r="S394" s="89"/>
      <c r="T394" s="80"/>
      <c r="U394" s="71" t="s">
        <v>866</v>
      </c>
    </row>
    <row r="395" spans="1:21" ht="41.4" hidden="1">
      <c r="A395" s="95"/>
      <c r="B395" s="66" t="s">
        <v>863</v>
      </c>
      <c r="C395" s="66" t="s">
        <v>91</v>
      </c>
      <c r="D395" s="66" t="s">
        <v>23</v>
      </c>
      <c r="E395" s="81"/>
      <c r="F395" s="71" t="s">
        <v>101</v>
      </c>
      <c r="G395" s="71" t="s">
        <v>867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97</v>
      </c>
      <c r="P395" s="66">
        <v>2025</v>
      </c>
      <c r="Q395" s="66" t="s">
        <v>37</v>
      </c>
      <c r="R395" s="87"/>
      <c r="S395" s="89"/>
      <c r="T395" s="80"/>
      <c r="U395" s="71" t="s">
        <v>866</v>
      </c>
    </row>
    <row r="396" spans="1:21" ht="18" hidden="1" customHeight="1">
      <c r="A396" s="95"/>
      <c r="B396" s="71" t="s">
        <v>863</v>
      </c>
      <c r="C396" s="66" t="s">
        <v>91</v>
      </c>
      <c r="D396" s="66" t="s">
        <v>41</v>
      </c>
      <c r="E396" s="81" t="s">
        <v>868</v>
      </c>
      <c r="F396" s="71" t="s">
        <v>81</v>
      </c>
      <c r="G396" s="66" t="s">
        <v>77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73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69</v>
      </c>
    </row>
    <row r="397" spans="1:21" ht="27.6" hidden="1">
      <c r="A397" s="95"/>
      <c r="B397" s="71" t="s">
        <v>863</v>
      </c>
      <c r="C397" s="66" t="s">
        <v>91</v>
      </c>
      <c r="D397" s="66"/>
      <c r="E397" s="81"/>
      <c r="F397" s="71" t="s">
        <v>160</v>
      </c>
      <c r="G397" s="66" t="s">
        <v>869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99</v>
      </c>
      <c r="O397" s="71" t="s">
        <v>44</v>
      </c>
      <c r="P397" s="66">
        <v>2025</v>
      </c>
      <c r="Q397" s="66" t="s">
        <v>74</v>
      </c>
      <c r="R397" s="66"/>
      <c r="S397" s="66"/>
      <c r="T397" s="80">
        <v>1</v>
      </c>
      <c r="U397" s="71" t="s">
        <v>163</v>
      </c>
    </row>
    <row r="398" spans="1:21" ht="18" hidden="1" customHeight="1">
      <c r="A398" s="95"/>
      <c r="B398" s="71" t="s">
        <v>863</v>
      </c>
      <c r="C398" s="66" t="s">
        <v>91</v>
      </c>
      <c r="D398" s="66" t="s">
        <v>41</v>
      </c>
      <c r="E398" s="81" t="s">
        <v>870</v>
      </c>
      <c r="F398" s="71" t="s">
        <v>871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 hidden="1">
      <c r="A399" s="95"/>
      <c r="B399" s="71" t="s">
        <v>863</v>
      </c>
      <c r="C399" s="66" t="s">
        <v>91</v>
      </c>
      <c r="D399" s="66" t="s">
        <v>41</v>
      </c>
      <c r="E399" s="81" t="s">
        <v>872</v>
      </c>
      <c r="F399" s="71" t="s">
        <v>81</v>
      </c>
      <c r="G399" s="66" t="s">
        <v>77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73</v>
      </c>
      <c r="O399" s="71" t="s">
        <v>50</v>
      </c>
      <c r="P399" s="66">
        <v>2024</v>
      </c>
      <c r="Q399" s="66" t="s">
        <v>74</v>
      </c>
      <c r="R399" s="66"/>
      <c r="S399" s="66"/>
      <c r="T399" s="80">
        <v>1</v>
      </c>
      <c r="U399" s="71"/>
    </row>
    <row r="400" spans="1:21" ht="27.6" hidden="1">
      <c r="A400" s="110">
        <v>101</v>
      </c>
      <c r="B400" s="71" t="s">
        <v>873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874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87"/>
      <c r="S400" s="89"/>
      <c r="T400" s="80"/>
      <c r="U400" s="76" t="s">
        <v>60</v>
      </c>
    </row>
    <row r="401" spans="1:21" ht="31.95" hidden="1" customHeight="1">
      <c r="A401" s="110"/>
      <c r="B401" s="71" t="s">
        <v>873</v>
      </c>
      <c r="C401" s="66" t="s">
        <v>22</v>
      </c>
      <c r="D401" s="66" t="s">
        <v>47</v>
      </c>
      <c r="E401" s="81"/>
      <c r="F401" s="71" t="s">
        <v>875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hidden="1" customHeight="1">
      <c r="A402" s="110"/>
      <c r="B402" s="71" t="s">
        <v>873</v>
      </c>
      <c r="C402" s="66" t="s">
        <v>22</v>
      </c>
      <c r="D402" s="66" t="s">
        <v>41</v>
      </c>
      <c r="E402" s="81" t="s">
        <v>876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73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37</v>
      </c>
    </row>
    <row r="403" spans="1:21" ht="31.95" hidden="1" customHeight="1">
      <c r="A403" s="110"/>
      <c r="B403" s="71" t="s">
        <v>873</v>
      </c>
      <c r="C403" s="66" t="s">
        <v>22</v>
      </c>
      <c r="D403" s="66" t="s">
        <v>41</v>
      </c>
      <c r="E403" s="81" t="s">
        <v>877</v>
      </c>
      <c r="F403" s="71" t="s">
        <v>878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75</v>
      </c>
    </row>
    <row r="404" spans="1:21" ht="31.95" hidden="1" customHeight="1">
      <c r="A404" s="110"/>
      <c r="B404" s="71" t="s">
        <v>873</v>
      </c>
      <c r="C404" s="66" t="s">
        <v>22</v>
      </c>
      <c r="D404" s="66" t="s">
        <v>41</v>
      </c>
      <c r="E404" s="81">
        <v>2025003050046</v>
      </c>
      <c r="F404" s="71" t="s">
        <v>76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36</v>
      </c>
      <c r="O404" s="71" t="s">
        <v>79</v>
      </c>
      <c r="P404" s="66">
        <v>2026</v>
      </c>
      <c r="Q404" s="66" t="s">
        <v>37</v>
      </c>
      <c r="R404" s="66"/>
      <c r="S404" s="66"/>
      <c r="T404" s="70">
        <v>0.03</v>
      </c>
      <c r="U404" s="71"/>
    </row>
    <row r="405" spans="1:21" ht="13.8" hidden="1">
      <c r="A405" s="110"/>
      <c r="B405" s="71" t="s">
        <v>873</v>
      </c>
      <c r="C405" s="66" t="s">
        <v>22</v>
      </c>
      <c r="D405" s="66" t="s">
        <v>41</v>
      </c>
      <c r="E405" s="81" t="s">
        <v>879</v>
      </c>
      <c r="F405" s="71" t="s">
        <v>81</v>
      </c>
      <c r="G405" s="66" t="s">
        <v>77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73</v>
      </c>
      <c r="O405" s="71" t="s">
        <v>50</v>
      </c>
      <c r="P405" s="66">
        <v>2024</v>
      </c>
      <c r="Q405" s="66" t="s">
        <v>74</v>
      </c>
      <c r="R405" s="66"/>
      <c r="S405" s="66"/>
      <c r="T405" s="70">
        <v>1</v>
      </c>
      <c r="U405" s="66" t="s">
        <v>69</v>
      </c>
    </row>
    <row r="406" spans="1:21" ht="36" hidden="1" customHeight="1">
      <c r="A406" s="95">
        <v>102</v>
      </c>
      <c r="B406" s="66" t="s">
        <v>880</v>
      </c>
      <c r="C406" s="66" t="s">
        <v>84</v>
      </c>
      <c r="D406" s="66" t="s">
        <v>23</v>
      </c>
      <c r="E406" s="81"/>
      <c r="F406" s="71" t="s">
        <v>436</v>
      </c>
      <c r="G406" s="71" t="s">
        <v>881</v>
      </c>
      <c r="H406" s="71" t="s">
        <v>882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97</v>
      </c>
      <c r="P406" s="66">
        <v>2025</v>
      </c>
      <c r="Q406" s="66" t="s">
        <v>30</v>
      </c>
      <c r="R406" s="87"/>
      <c r="S406" s="89"/>
      <c r="T406" s="80"/>
      <c r="U406" s="66" t="s">
        <v>154</v>
      </c>
    </row>
    <row r="407" spans="1:21" ht="13.8" hidden="1">
      <c r="A407" s="95"/>
      <c r="B407" s="71" t="s">
        <v>880</v>
      </c>
      <c r="C407" s="66" t="s">
        <v>84</v>
      </c>
      <c r="D407" s="66" t="s">
        <v>41</v>
      </c>
      <c r="E407" s="81" t="s">
        <v>883</v>
      </c>
      <c r="F407" s="71" t="s">
        <v>81</v>
      </c>
      <c r="G407" s="66" t="s">
        <v>77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73</v>
      </c>
      <c r="O407" s="71" t="s">
        <v>50</v>
      </c>
      <c r="P407" s="66">
        <v>2024</v>
      </c>
      <c r="Q407" s="66" t="s">
        <v>74</v>
      </c>
      <c r="R407" s="66"/>
      <c r="S407" s="66"/>
      <c r="T407" s="80">
        <v>1</v>
      </c>
      <c r="U407" s="71" t="s">
        <v>75</v>
      </c>
    </row>
    <row r="408" spans="1:21" ht="40.950000000000003" hidden="1" customHeight="1">
      <c r="A408" s="95">
        <v>103</v>
      </c>
      <c r="B408" s="71" t="s">
        <v>884</v>
      </c>
      <c r="C408" s="66" t="s">
        <v>40</v>
      </c>
      <c r="D408" s="66" t="s">
        <v>174</v>
      </c>
      <c r="E408" s="81" t="s">
        <v>62</v>
      </c>
      <c r="F408" s="71" t="s">
        <v>885</v>
      </c>
      <c r="G408" s="71" t="s">
        <v>886</v>
      </c>
      <c r="H408" s="71" t="s">
        <v>886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36</v>
      </c>
      <c r="O408" s="71" t="s">
        <v>29</v>
      </c>
      <c r="P408" s="66">
        <v>2026</v>
      </c>
      <c r="Q408" s="66" t="s">
        <v>565</v>
      </c>
      <c r="R408" s="66"/>
      <c r="S408" s="66"/>
      <c r="T408" s="80"/>
      <c r="U408" s="71" t="s">
        <v>591</v>
      </c>
    </row>
    <row r="409" spans="1:21" ht="40.950000000000003" hidden="1" customHeight="1">
      <c r="A409" s="95"/>
      <c r="B409" s="71" t="s">
        <v>884</v>
      </c>
      <c r="C409" s="66" t="s">
        <v>40</v>
      </c>
      <c r="D409" s="66" t="s">
        <v>41</v>
      </c>
      <c r="E409" s="81" t="s">
        <v>887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73</v>
      </c>
      <c r="O409" s="71" t="s">
        <v>50</v>
      </c>
      <c r="P409" s="66">
        <v>2025</v>
      </c>
      <c r="Q409" s="66" t="s">
        <v>37</v>
      </c>
      <c r="R409" s="66"/>
      <c r="S409" s="66"/>
      <c r="T409" s="80">
        <v>0.5</v>
      </c>
      <c r="U409" s="71" t="s">
        <v>37</v>
      </c>
    </row>
    <row r="410" spans="1:21" ht="40.950000000000003" hidden="1" customHeight="1">
      <c r="A410" s="95"/>
      <c r="B410" s="71" t="s">
        <v>884</v>
      </c>
      <c r="C410" s="66" t="s">
        <v>40</v>
      </c>
      <c r="D410" s="66" t="s">
        <v>41</v>
      </c>
      <c r="E410" s="81" t="s">
        <v>146</v>
      </c>
      <c r="F410" s="71" t="s">
        <v>81</v>
      </c>
      <c r="G410" s="66" t="s">
        <v>77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74</v>
      </c>
      <c r="R410" s="66"/>
      <c r="S410" s="66"/>
      <c r="T410" s="80">
        <v>1</v>
      </c>
      <c r="U410" s="71" t="s">
        <v>69</v>
      </c>
    </row>
    <row r="411" spans="1:21" ht="13.8" hidden="1">
      <c r="A411" s="95"/>
      <c r="B411" s="71" t="s">
        <v>884</v>
      </c>
      <c r="C411" s="66" t="s">
        <v>40</v>
      </c>
      <c r="D411" s="66" t="s">
        <v>41</v>
      </c>
      <c r="E411" s="81" t="s">
        <v>888</v>
      </c>
      <c r="F411" s="71" t="s">
        <v>81</v>
      </c>
      <c r="G411" s="66" t="s">
        <v>77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73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69</v>
      </c>
    </row>
    <row r="412" spans="1:21" ht="60" hidden="1" customHeight="1">
      <c r="A412" s="95">
        <v>104</v>
      </c>
      <c r="B412" s="71" t="s">
        <v>889</v>
      </c>
      <c r="C412" s="66" t="s">
        <v>149</v>
      </c>
      <c r="D412" s="66" t="s">
        <v>23</v>
      </c>
      <c r="E412" s="81"/>
      <c r="F412" s="71" t="s">
        <v>436</v>
      </c>
      <c r="G412" s="71" t="s">
        <v>890</v>
      </c>
      <c r="H412" s="71" t="s">
        <v>891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97</v>
      </c>
      <c r="P412" s="66">
        <v>2025</v>
      </c>
      <c r="Q412" s="66" t="s">
        <v>37</v>
      </c>
      <c r="R412" s="87"/>
      <c r="S412" s="89"/>
      <c r="T412" s="80"/>
      <c r="U412" s="66" t="s">
        <v>154</v>
      </c>
    </row>
    <row r="413" spans="1:21" ht="60" hidden="1" customHeight="1">
      <c r="A413" s="95"/>
      <c r="B413" s="71" t="s">
        <v>889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892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79</v>
      </c>
      <c r="P413" s="66">
        <v>2024</v>
      </c>
      <c r="Q413" s="66" t="s">
        <v>37</v>
      </c>
      <c r="R413" s="66"/>
      <c r="S413" s="66"/>
      <c r="T413" s="70">
        <v>0.87</v>
      </c>
      <c r="U413" s="71" t="s">
        <v>136</v>
      </c>
    </row>
    <row r="414" spans="1:21" ht="60" hidden="1" customHeight="1">
      <c r="A414" s="95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 hidden="1">
      <c r="A415" s="95"/>
      <c r="B415" s="71" t="s">
        <v>889</v>
      </c>
      <c r="C415" s="66" t="s">
        <v>149</v>
      </c>
      <c r="D415" s="66" t="s">
        <v>174</v>
      </c>
      <c r="E415" s="81">
        <v>2026003050013</v>
      </c>
      <c r="F415" s="66" t="s">
        <v>893</v>
      </c>
      <c r="G415" s="71" t="s">
        <v>894</v>
      </c>
      <c r="H415" s="71" t="s">
        <v>894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36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895</v>
      </c>
    </row>
    <row r="416" spans="1:21" ht="40.950000000000003" hidden="1" customHeight="1">
      <c r="A416" s="95"/>
      <c r="B416" s="71" t="s">
        <v>889</v>
      </c>
      <c r="C416" s="66" t="s">
        <v>149</v>
      </c>
      <c r="D416" s="66" t="s">
        <v>41</v>
      </c>
      <c r="E416" s="81" t="s">
        <v>146</v>
      </c>
      <c r="F416" s="71" t="s">
        <v>81</v>
      </c>
      <c r="G416" s="66" t="s">
        <v>77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75</v>
      </c>
    </row>
    <row r="417" spans="1:21" ht="41.4" hidden="1">
      <c r="A417" s="95">
        <v>105</v>
      </c>
      <c r="B417" s="71" t="s">
        <v>896</v>
      </c>
      <c r="C417" s="66" t="s">
        <v>91</v>
      </c>
      <c r="D417" s="66" t="s">
        <v>23</v>
      </c>
      <c r="E417" s="81"/>
      <c r="F417" s="71" t="s">
        <v>101</v>
      </c>
      <c r="G417" s="71" t="s">
        <v>897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97</v>
      </c>
      <c r="P417" s="66">
        <v>2025</v>
      </c>
      <c r="Q417" s="66" t="s">
        <v>37</v>
      </c>
      <c r="R417" s="87"/>
      <c r="S417" s="89"/>
      <c r="T417" s="80"/>
      <c r="U417" s="71" t="s">
        <v>103</v>
      </c>
    </row>
    <row r="418" spans="1:21" ht="142.94999999999999" hidden="1" customHeight="1">
      <c r="A418" s="95"/>
      <c r="B418" s="71" t="s">
        <v>896</v>
      </c>
      <c r="C418" s="66" t="s">
        <v>91</v>
      </c>
      <c r="D418" s="66" t="s">
        <v>23</v>
      </c>
      <c r="E418" s="81"/>
      <c r="F418" s="71" t="s">
        <v>898</v>
      </c>
      <c r="G418" s="66" t="s">
        <v>899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99</v>
      </c>
      <c r="O418" s="71" t="s">
        <v>62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 hidden="1">
      <c r="A419" s="95"/>
      <c r="B419" s="71" t="s">
        <v>896</v>
      </c>
      <c r="C419" s="66" t="s">
        <v>91</v>
      </c>
      <c r="D419" s="66" t="s">
        <v>41</v>
      </c>
      <c r="E419" s="81" t="s">
        <v>900</v>
      </c>
      <c r="F419" s="71" t="s">
        <v>901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75</v>
      </c>
    </row>
    <row r="420" spans="1:21" ht="13.8" hidden="1">
      <c r="A420" s="95"/>
      <c r="B420" s="71" t="s">
        <v>896</v>
      </c>
      <c r="C420" s="66" t="s">
        <v>91</v>
      </c>
      <c r="D420" s="66" t="s">
        <v>41</v>
      </c>
      <c r="E420" s="81" t="s">
        <v>902</v>
      </c>
      <c r="F420" s="71" t="s">
        <v>903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74</v>
      </c>
      <c r="R420" s="66"/>
      <c r="S420" s="66"/>
      <c r="T420" s="70">
        <v>1</v>
      </c>
      <c r="U420" s="66" t="s">
        <v>75</v>
      </c>
    </row>
    <row r="421" spans="1:21" ht="13.8" hidden="1">
      <c r="A421" s="95"/>
      <c r="B421" s="71" t="s">
        <v>896</v>
      </c>
      <c r="C421" s="66" t="s">
        <v>91</v>
      </c>
      <c r="D421" s="66" t="s">
        <v>904</v>
      </c>
      <c r="E421" s="81" t="s">
        <v>905</v>
      </c>
      <c r="F421" s="71" t="s">
        <v>906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75</v>
      </c>
    </row>
    <row r="422" spans="1:21" ht="27.6" hidden="1">
      <c r="A422" s="95"/>
      <c r="B422" s="71" t="s">
        <v>896</v>
      </c>
      <c r="C422" s="66" t="s">
        <v>91</v>
      </c>
      <c r="D422" s="66"/>
      <c r="E422" s="81"/>
      <c r="F422" s="71" t="s">
        <v>160</v>
      </c>
      <c r="G422" s="71" t="s">
        <v>907</v>
      </c>
      <c r="H422" s="71">
        <v>10</v>
      </c>
      <c r="I422" s="71"/>
      <c r="J422" s="71"/>
      <c r="K422" s="69"/>
      <c r="L422" s="69"/>
      <c r="M422" s="2"/>
      <c r="N422" s="71" t="s">
        <v>99</v>
      </c>
      <c r="O422" s="71" t="s">
        <v>44</v>
      </c>
      <c r="P422" s="66">
        <v>2025</v>
      </c>
      <c r="Q422" s="66" t="s">
        <v>37</v>
      </c>
      <c r="R422" s="66"/>
      <c r="S422" s="66"/>
      <c r="T422" s="70"/>
      <c r="U422" s="66" t="s">
        <v>163</v>
      </c>
    </row>
    <row r="423" spans="1:21" ht="13.8" hidden="1">
      <c r="A423" s="95"/>
      <c r="B423" s="71" t="s">
        <v>896</v>
      </c>
      <c r="C423" s="66" t="s">
        <v>91</v>
      </c>
      <c r="D423" s="66" t="s">
        <v>174</v>
      </c>
      <c r="E423" s="81" t="s">
        <v>62</v>
      </c>
      <c r="F423" s="71" t="s">
        <v>893</v>
      </c>
      <c r="G423" s="66" t="s">
        <v>908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36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hidden="1" customHeight="1">
      <c r="A424" s="95"/>
      <c r="B424" s="71" t="s">
        <v>896</v>
      </c>
      <c r="C424" s="66" t="s">
        <v>91</v>
      </c>
      <c r="D424" s="66" t="s">
        <v>41</v>
      </c>
      <c r="E424" s="81" t="s">
        <v>146</v>
      </c>
      <c r="F424" s="71" t="s">
        <v>81</v>
      </c>
      <c r="G424" s="66" t="s">
        <v>909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74</v>
      </c>
      <c r="R424" s="66"/>
      <c r="S424" s="66"/>
      <c r="T424" s="70">
        <v>1</v>
      </c>
      <c r="U424" s="66" t="s">
        <v>75</v>
      </c>
    </row>
    <row r="425" spans="1:21" ht="27.6" hidden="1">
      <c r="A425" s="66">
        <v>106</v>
      </c>
      <c r="B425" s="71" t="s">
        <v>910</v>
      </c>
      <c r="C425" s="66" t="s">
        <v>91</v>
      </c>
      <c r="D425" s="66" t="s">
        <v>41</v>
      </c>
      <c r="E425" s="81">
        <v>2023000040003</v>
      </c>
      <c r="F425" s="71" t="s">
        <v>741</v>
      </c>
      <c r="G425" s="66" t="s">
        <v>911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36</v>
      </c>
      <c r="O425" s="2" t="s">
        <v>44</v>
      </c>
      <c r="P425" s="66">
        <v>2023</v>
      </c>
      <c r="Q425" s="66" t="s">
        <v>37</v>
      </c>
      <c r="R425" s="66"/>
      <c r="S425" s="66"/>
      <c r="T425" s="66"/>
      <c r="U425" s="71"/>
    </row>
    <row r="426" spans="1:21" ht="27.6" hidden="1">
      <c r="A426" s="66"/>
      <c r="B426" s="66" t="s">
        <v>912</v>
      </c>
      <c r="C426" s="66" t="s">
        <v>22</v>
      </c>
      <c r="D426" s="66" t="s">
        <v>33</v>
      </c>
      <c r="E426" s="81">
        <v>2022003050018</v>
      </c>
      <c r="F426" s="71" t="s">
        <v>34</v>
      </c>
      <c r="G426" s="71" t="s">
        <v>35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36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37</v>
      </c>
    </row>
    <row r="427" spans="1:21" ht="27.6" hidden="1">
      <c r="A427" s="95">
        <v>107</v>
      </c>
      <c r="B427" s="71" t="s">
        <v>913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914</v>
      </c>
      <c r="H427" s="71" t="s">
        <v>915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87"/>
      <c r="S427" s="89"/>
      <c r="T427" s="80"/>
      <c r="U427" s="76" t="s">
        <v>60</v>
      </c>
    </row>
    <row r="428" spans="1:21" ht="13.8" hidden="1">
      <c r="A428" s="95"/>
      <c r="B428" s="71" t="s">
        <v>913</v>
      </c>
      <c r="C428" s="66" t="s">
        <v>22</v>
      </c>
      <c r="D428" s="66" t="s">
        <v>41</v>
      </c>
      <c r="E428" s="81" t="s">
        <v>916</v>
      </c>
      <c r="F428" s="71" t="s">
        <v>917</v>
      </c>
      <c r="G428" s="66" t="s">
        <v>505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73</v>
      </c>
      <c r="O428" s="71" t="s">
        <v>50</v>
      </c>
      <c r="P428" s="66">
        <v>2024</v>
      </c>
      <c r="Q428" s="66" t="s">
        <v>37</v>
      </c>
      <c r="R428" s="66"/>
      <c r="S428" s="66"/>
      <c r="T428" s="80">
        <v>0.8</v>
      </c>
      <c r="U428" s="71"/>
    </row>
    <row r="429" spans="1:21" ht="40.950000000000003" hidden="1" customHeight="1">
      <c r="A429" s="95"/>
      <c r="B429" s="71" t="s">
        <v>913</v>
      </c>
      <c r="C429" s="66" t="s">
        <v>22</v>
      </c>
      <c r="D429" s="66" t="s">
        <v>119</v>
      </c>
      <c r="E429" s="81"/>
      <c r="F429" s="71" t="s">
        <v>918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69</v>
      </c>
    </row>
    <row r="430" spans="1:21" ht="40.950000000000003" hidden="1" customHeight="1">
      <c r="A430" s="95"/>
      <c r="B430" s="71" t="s">
        <v>912</v>
      </c>
      <c r="C430" s="66" t="s">
        <v>22</v>
      </c>
      <c r="D430" s="66" t="s">
        <v>174</v>
      </c>
      <c r="E430" s="81" t="s">
        <v>62</v>
      </c>
      <c r="F430" s="71" t="s">
        <v>919</v>
      </c>
      <c r="G430" s="66" t="s">
        <v>920</v>
      </c>
      <c r="H430" s="66" t="s">
        <v>920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36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hidden="1" customHeight="1">
      <c r="A431" s="95"/>
      <c r="B431" s="71" t="s">
        <v>912</v>
      </c>
      <c r="C431" s="66" t="s">
        <v>22</v>
      </c>
      <c r="D431" s="66" t="s">
        <v>174</v>
      </c>
      <c r="E431" s="81" t="s">
        <v>62</v>
      </c>
      <c r="F431" s="71" t="s">
        <v>921</v>
      </c>
      <c r="G431" s="66" t="s">
        <v>922</v>
      </c>
      <c r="H431" s="66" t="s">
        <v>922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36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 hidden="1">
      <c r="A432" s="95"/>
      <c r="B432" s="71" t="s">
        <v>913</v>
      </c>
      <c r="C432" s="66" t="s">
        <v>22</v>
      </c>
      <c r="D432" s="66" t="s">
        <v>41</v>
      </c>
      <c r="E432" s="81">
        <v>2024057560039</v>
      </c>
      <c r="F432" s="71" t="s">
        <v>76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36</v>
      </c>
      <c r="O432" s="2" t="s">
        <v>44</v>
      </c>
      <c r="P432" s="66">
        <v>2024</v>
      </c>
      <c r="Q432" s="66" t="s">
        <v>37</v>
      </c>
      <c r="R432" s="66"/>
      <c r="S432" s="66"/>
      <c r="T432" s="80">
        <v>0.96450000000000002</v>
      </c>
      <c r="U432" s="71"/>
    </row>
    <row r="433" spans="1:21" ht="13.8" hidden="1">
      <c r="A433" s="95"/>
      <c r="B433" s="71" t="s">
        <v>912</v>
      </c>
      <c r="C433" s="66" t="s">
        <v>22</v>
      </c>
      <c r="D433" s="66" t="s">
        <v>41</v>
      </c>
      <c r="E433" s="81" t="s">
        <v>923</v>
      </c>
      <c r="F433" s="71" t="s">
        <v>81</v>
      </c>
      <c r="G433" s="66" t="s">
        <v>77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73</v>
      </c>
      <c r="O433" s="71" t="s">
        <v>50</v>
      </c>
      <c r="P433" s="66">
        <v>2025</v>
      </c>
      <c r="Q433" s="66" t="s">
        <v>37</v>
      </c>
      <c r="R433" s="66"/>
      <c r="S433" s="66"/>
      <c r="T433" s="70">
        <v>0.6</v>
      </c>
      <c r="U433" s="66"/>
    </row>
    <row r="434" spans="1:21" ht="13.8" hidden="1">
      <c r="A434" s="106"/>
      <c r="B434" s="71" t="s">
        <v>924</v>
      </c>
      <c r="C434" s="66" t="s">
        <v>40</v>
      </c>
      <c r="D434" s="66" t="s">
        <v>174</v>
      </c>
      <c r="E434" s="81"/>
      <c r="F434" s="71" t="s">
        <v>804</v>
      </c>
      <c r="G434" s="71" t="s">
        <v>925</v>
      </c>
      <c r="H434" s="71" t="s">
        <v>925</v>
      </c>
      <c r="I434" s="71"/>
      <c r="J434" s="71"/>
      <c r="K434" s="99">
        <v>12746524997</v>
      </c>
      <c r="L434" s="99">
        <v>1000000000</v>
      </c>
      <c r="M434" s="99">
        <f>+K434+L434</f>
        <v>13746524997</v>
      </c>
      <c r="N434" s="96" t="s">
        <v>36</v>
      </c>
      <c r="O434" s="96" t="s">
        <v>44</v>
      </c>
      <c r="P434" s="95">
        <v>2025</v>
      </c>
      <c r="Q434" s="66"/>
      <c r="R434" s="66"/>
      <c r="S434" s="66"/>
      <c r="T434" s="113">
        <v>0.65</v>
      </c>
      <c r="U434" s="95" t="s">
        <v>37</v>
      </c>
    </row>
    <row r="435" spans="1:21" ht="27.6" hidden="1">
      <c r="A435" s="106"/>
      <c r="B435" s="71" t="s">
        <v>924</v>
      </c>
      <c r="C435" s="66" t="s">
        <v>40</v>
      </c>
      <c r="D435" s="66" t="s">
        <v>41</v>
      </c>
      <c r="E435" s="81"/>
      <c r="F435" s="71" t="s">
        <v>926</v>
      </c>
      <c r="G435" s="71" t="s">
        <v>396</v>
      </c>
      <c r="H435" s="71">
        <v>1.5</v>
      </c>
      <c r="I435" s="71"/>
      <c r="J435" s="71"/>
      <c r="K435" s="99"/>
      <c r="L435" s="99"/>
      <c r="M435" s="99"/>
      <c r="N435" s="96"/>
      <c r="O435" s="96"/>
      <c r="P435" s="95"/>
      <c r="Q435" s="66"/>
      <c r="R435" s="66"/>
      <c r="S435" s="66"/>
      <c r="T435" s="113"/>
      <c r="U435" s="95"/>
    </row>
    <row r="436" spans="1:21" ht="13.8" hidden="1">
      <c r="A436" s="106"/>
      <c r="B436" s="71" t="s">
        <v>924</v>
      </c>
      <c r="C436" s="66" t="s">
        <v>40</v>
      </c>
      <c r="D436" s="66" t="s">
        <v>41</v>
      </c>
      <c r="E436" s="81" t="s">
        <v>927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73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 hidden="1">
      <c r="A437" s="106"/>
      <c r="B437" s="71" t="s">
        <v>928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929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82</v>
      </c>
    </row>
    <row r="438" spans="1:21" ht="13.8" hidden="1">
      <c r="A438" s="106"/>
      <c r="B438" s="71" t="s">
        <v>924</v>
      </c>
      <c r="C438" s="66" t="s">
        <v>40</v>
      </c>
      <c r="D438" s="66" t="s">
        <v>23</v>
      </c>
      <c r="E438" s="81"/>
      <c r="F438" s="71" t="s">
        <v>930</v>
      </c>
      <c r="G438" s="71" t="s">
        <v>671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69</v>
      </c>
    </row>
    <row r="439" spans="1:21" ht="27.6" hidden="1">
      <c r="A439" s="102"/>
      <c r="B439" s="71" t="s">
        <v>924</v>
      </c>
      <c r="C439" s="66" t="s">
        <v>40</v>
      </c>
      <c r="D439" s="66" t="s">
        <v>23</v>
      </c>
      <c r="E439" s="81"/>
      <c r="F439" s="71" t="s">
        <v>101</v>
      </c>
      <c r="G439" s="71" t="s">
        <v>931</v>
      </c>
      <c r="H439" s="71" t="s">
        <v>932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97</v>
      </c>
      <c r="P439" s="66">
        <v>2025</v>
      </c>
      <c r="Q439" s="66" t="s">
        <v>37</v>
      </c>
      <c r="R439" s="87"/>
      <c r="S439" s="89"/>
      <c r="T439" s="80"/>
      <c r="U439" s="71" t="s">
        <v>705</v>
      </c>
    </row>
    <row r="440" spans="1:21" ht="57" hidden="1" customHeight="1">
      <c r="A440" s="101">
        <v>109</v>
      </c>
      <c r="B440" s="71" t="s">
        <v>933</v>
      </c>
      <c r="C440" s="66" t="s">
        <v>84</v>
      </c>
      <c r="D440" s="66" t="s">
        <v>23</v>
      </c>
      <c r="E440" s="81"/>
      <c r="F440" s="71" t="s">
        <v>934</v>
      </c>
      <c r="G440" s="71" t="s">
        <v>935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97</v>
      </c>
      <c r="P440" s="66">
        <v>2024</v>
      </c>
      <c r="Q440" s="66"/>
      <c r="R440" s="66"/>
      <c r="S440" s="66"/>
      <c r="T440" s="80">
        <v>0.25</v>
      </c>
      <c r="U440" s="66" t="s">
        <v>37</v>
      </c>
    </row>
    <row r="441" spans="1:21" ht="57" hidden="1" customHeight="1">
      <c r="A441" s="106"/>
      <c r="B441" s="71" t="s">
        <v>936</v>
      </c>
      <c r="C441" s="66" t="s">
        <v>84</v>
      </c>
      <c r="D441" s="66" t="s">
        <v>23</v>
      </c>
      <c r="E441" s="81"/>
      <c r="F441" s="71" t="s">
        <v>436</v>
      </c>
      <c r="G441" s="66" t="s">
        <v>937</v>
      </c>
      <c r="H441" s="66"/>
      <c r="I441" s="66"/>
      <c r="J441" s="66"/>
      <c r="K441" s="3" t="s">
        <v>938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97</v>
      </c>
      <c r="P441" s="66">
        <v>2025</v>
      </c>
      <c r="Q441" s="66" t="s">
        <v>37</v>
      </c>
      <c r="R441" s="87"/>
      <c r="S441" s="89"/>
      <c r="T441" s="80"/>
      <c r="U441" s="71" t="s">
        <v>705</v>
      </c>
    </row>
    <row r="442" spans="1:21" ht="36.6" hidden="1" customHeight="1">
      <c r="A442" s="106"/>
      <c r="B442" s="71" t="s">
        <v>936</v>
      </c>
      <c r="C442" s="66" t="s">
        <v>84</v>
      </c>
      <c r="D442" s="66" t="s">
        <v>41</v>
      </c>
      <c r="E442" s="81" t="s">
        <v>146</v>
      </c>
      <c r="F442" s="71" t="s">
        <v>81</v>
      </c>
      <c r="G442" s="66" t="s">
        <v>77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69</v>
      </c>
    </row>
    <row r="443" spans="1:21" ht="36.6" hidden="1" customHeight="1">
      <c r="A443" s="106"/>
      <c r="B443" s="71" t="s">
        <v>936</v>
      </c>
      <c r="C443" s="66" t="s">
        <v>84</v>
      </c>
      <c r="D443" s="66" t="s">
        <v>23</v>
      </c>
      <c r="E443" s="81">
        <v>4600017729</v>
      </c>
      <c r="F443" s="71" t="s">
        <v>208</v>
      </c>
      <c r="G443" s="66" t="s">
        <v>939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82</v>
      </c>
    </row>
    <row r="444" spans="1:21" ht="64.95" hidden="1" customHeight="1">
      <c r="A444" s="106"/>
      <c r="B444" s="71" t="s">
        <v>936</v>
      </c>
      <c r="C444" s="66" t="s">
        <v>84</v>
      </c>
      <c r="D444" s="66" t="s">
        <v>23</v>
      </c>
      <c r="E444" s="81">
        <v>4600016804</v>
      </c>
      <c r="F444" s="71" t="s">
        <v>940</v>
      </c>
      <c r="G444" s="66" t="s">
        <v>941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495</v>
      </c>
      <c r="O444" s="71" t="s">
        <v>97</v>
      </c>
      <c r="P444" s="66">
        <v>2025</v>
      </c>
      <c r="Q444" s="66"/>
      <c r="R444" s="66"/>
      <c r="S444" s="66"/>
      <c r="T444" s="16"/>
      <c r="U444" s="71" t="s">
        <v>942</v>
      </c>
    </row>
    <row r="445" spans="1:21" ht="36.6" hidden="1" customHeight="1">
      <c r="A445" s="106"/>
      <c r="B445" s="71" t="s">
        <v>936</v>
      </c>
      <c r="C445" s="66" t="s">
        <v>84</v>
      </c>
      <c r="D445" s="66" t="s">
        <v>119</v>
      </c>
      <c r="E445" s="81"/>
      <c r="F445" s="71" t="s">
        <v>943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37</v>
      </c>
    </row>
    <row r="446" spans="1:21" ht="36.6" hidden="1" customHeight="1">
      <c r="A446" s="106"/>
      <c r="B446" s="71" t="s">
        <v>936</v>
      </c>
      <c r="C446" s="66" t="s">
        <v>84</v>
      </c>
      <c r="D446" s="66" t="s">
        <v>41</v>
      </c>
      <c r="E446" s="81">
        <v>2025003050044</v>
      </c>
      <c r="F446" s="71" t="s">
        <v>944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hidden="1" customHeight="1">
      <c r="A447" s="102"/>
      <c r="B447" s="71" t="s">
        <v>936</v>
      </c>
      <c r="C447" s="66" t="s">
        <v>84</v>
      </c>
      <c r="D447" s="66" t="s">
        <v>41</v>
      </c>
      <c r="E447" s="81">
        <v>2024057890040</v>
      </c>
      <c r="F447" s="71" t="s">
        <v>945</v>
      </c>
      <c r="G447" s="66" t="s">
        <v>473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36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 hidden="1">
      <c r="A448" s="95"/>
      <c r="B448" s="71" t="s">
        <v>946</v>
      </c>
      <c r="C448" s="66" t="s">
        <v>292</v>
      </c>
      <c r="D448" s="66" t="s">
        <v>174</v>
      </c>
      <c r="E448" s="81">
        <v>2025003050040</v>
      </c>
      <c r="F448" s="71" t="s">
        <v>947</v>
      </c>
      <c r="G448" s="71" t="s">
        <v>948</v>
      </c>
      <c r="H448" s="71"/>
      <c r="I448" s="71" t="s">
        <v>106</v>
      </c>
      <c r="J448" s="71" t="s">
        <v>646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949</v>
      </c>
    </row>
    <row r="449" spans="1:21" ht="41.4" hidden="1">
      <c r="A449" s="95"/>
      <c r="B449" s="51" t="s">
        <v>946</v>
      </c>
      <c r="C449" s="52" t="s">
        <v>292</v>
      </c>
      <c r="D449" s="52" t="s">
        <v>41</v>
      </c>
      <c r="E449" s="53" t="s">
        <v>950</v>
      </c>
      <c r="F449" s="51" t="s">
        <v>951</v>
      </c>
      <c r="G449" s="52" t="s">
        <v>77</v>
      </c>
      <c r="H449" s="52">
        <v>1</v>
      </c>
      <c r="I449" s="52" t="s">
        <v>89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73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952</v>
      </c>
    </row>
    <row r="450" spans="1:21" ht="27.6" hidden="1">
      <c r="A450" s="101">
        <v>111</v>
      </c>
      <c r="B450" s="71" t="s">
        <v>953</v>
      </c>
      <c r="C450" s="66" t="s">
        <v>84</v>
      </c>
      <c r="D450" s="66" t="s">
        <v>41</v>
      </c>
      <c r="E450" s="81">
        <v>2022003050024</v>
      </c>
      <c r="F450" s="71" t="s">
        <v>954</v>
      </c>
      <c r="G450" s="66" t="s">
        <v>955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36</v>
      </c>
      <c r="O450" s="71" t="s">
        <v>594</v>
      </c>
      <c r="P450" s="66">
        <v>2022</v>
      </c>
      <c r="Q450" s="66"/>
      <c r="R450" s="66"/>
      <c r="S450" s="66"/>
      <c r="T450" s="80">
        <v>0.9</v>
      </c>
      <c r="U450" s="66" t="s">
        <v>37</v>
      </c>
    </row>
    <row r="451" spans="1:21" ht="15" hidden="1" customHeight="1">
      <c r="A451" s="106"/>
      <c r="B451" s="71" t="s">
        <v>953</v>
      </c>
      <c r="C451" s="66" t="s">
        <v>84</v>
      </c>
      <c r="D451" s="66" t="s">
        <v>23</v>
      </c>
      <c r="E451" s="81">
        <v>4600017699</v>
      </c>
      <c r="F451" s="71" t="s">
        <v>208</v>
      </c>
      <c r="G451" s="66" t="s">
        <v>956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82</v>
      </c>
    </row>
    <row r="452" spans="1:21" ht="15" hidden="1" customHeight="1">
      <c r="A452" s="106"/>
      <c r="B452" s="71" t="s">
        <v>953</v>
      </c>
      <c r="C452" s="66" t="s">
        <v>84</v>
      </c>
      <c r="D452" s="66" t="s">
        <v>131</v>
      </c>
      <c r="E452" s="81">
        <v>4600017793</v>
      </c>
      <c r="F452" s="71" t="s">
        <v>453</v>
      </c>
      <c r="G452" s="66" t="s">
        <v>957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79</v>
      </c>
      <c r="P452" s="66">
        <v>2024</v>
      </c>
      <c r="Q452" s="66" t="s">
        <v>37</v>
      </c>
      <c r="R452" s="66"/>
      <c r="S452" s="66"/>
      <c r="T452" s="70">
        <v>0.87</v>
      </c>
      <c r="U452" s="71" t="s">
        <v>136</v>
      </c>
    </row>
    <row r="453" spans="1:21" ht="15" hidden="1" customHeight="1">
      <c r="A453" s="102"/>
      <c r="B453" s="71" t="s">
        <v>953</v>
      </c>
      <c r="C453" s="66" t="s">
        <v>84</v>
      </c>
      <c r="D453" s="66" t="s">
        <v>41</v>
      </c>
      <c r="E453" s="81" t="s">
        <v>958</v>
      </c>
      <c r="F453" s="71" t="s">
        <v>81</v>
      </c>
      <c r="G453" s="66" t="s">
        <v>959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73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69</v>
      </c>
    </row>
    <row r="454" spans="1:21" ht="42.6" hidden="1" customHeight="1">
      <c r="A454" s="95">
        <v>112</v>
      </c>
      <c r="B454" s="71" t="s">
        <v>960</v>
      </c>
      <c r="C454" s="66" t="s">
        <v>84</v>
      </c>
      <c r="D454" s="66" t="s">
        <v>23</v>
      </c>
      <c r="E454" s="81" t="s">
        <v>108</v>
      </c>
      <c r="F454" s="71" t="s">
        <v>101</v>
      </c>
      <c r="G454" s="66" t="s">
        <v>961</v>
      </c>
      <c r="H454" s="66" t="s">
        <v>962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97</v>
      </c>
      <c r="P454" s="66">
        <v>2025</v>
      </c>
      <c r="Q454" s="66" t="s">
        <v>30</v>
      </c>
      <c r="R454" s="87"/>
      <c r="S454" s="89"/>
      <c r="T454" s="80"/>
      <c r="U454" s="66" t="s">
        <v>154</v>
      </c>
    </row>
    <row r="455" spans="1:21" ht="13.8" hidden="1">
      <c r="A455" s="95"/>
      <c r="B455" s="71" t="s">
        <v>960</v>
      </c>
      <c r="C455" s="66" t="s">
        <v>84</v>
      </c>
      <c r="D455" s="66" t="s">
        <v>904</v>
      </c>
      <c r="E455" s="81" t="s">
        <v>146</v>
      </c>
      <c r="F455" s="71" t="s">
        <v>81</v>
      </c>
      <c r="G455" s="66" t="s">
        <v>77</v>
      </c>
      <c r="H455" s="66">
        <v>1</v>
      </c>
      <c r="I455" s="66" t="s">
        <v>89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74</v>
      </c>
      <c r="R455" s="66"/>
      <c r="S455" s="66"/>
      <c r="T455" s="80">
        <v>1</v>
      </c>
      <c r="U455" s="71"/>
    </row>
    <row r="456" spans="1:21" ht="15" hidden="1" customHeight="1">
      <c r="A456" s="95"/>
      <c r="B456" s="71" t="s">
        <v>960</v>
      </c>
      <c r="C456" s="66" t="s">
        <v>84</v>
      </c>
      <c r="D456" s="66" t="s">
        <v>41</v>
      </c>
      <c r="E456" s="81">
        <v>2025003050008</v>
      </c>
      <c r="F456" s="71" t="s">
        <v>76</v>
      </c>
      <c r="G456" s="66" t="s">
        <v>963</v>
      </c>
      <c r="H456" s="66">
        <v>1.2</v>
      </c>
      <c r="I456" s="66" t="s">
        <v>89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36</v>
      </c>
      <c r="O456" s="2" t="s">
        <v>44</v>
      </c>
      <c r="P456" s="66">
        <v>2025</v>
      </c>
      <c r="Q456" s="66" t="s">
        <v>74</v>
      </c>
      <c r="R456" s="66"/>
      <c r="S456" s="66"/>
      <c r="T456" s="80">
        <v>1</v>
      </c>
      <c r="U456" s="71"/>
    </row>
    <row r="457" spans="1:21" ht="27.6" hidden="1">
      <c r="A457" s="95">
        <v>113</v>
      </c>
      <c r="B457" s="71" t="s">
        <v>964</v>
      </c>
      <c r="C457" s="66" t="s">
        <v>149</v>
      </c>
      <c r="D457" s="66" t="s">
        <v>174</v>
      </c>
      <c r="E457" s="81">
        <v>2026003050015</v>
      </c>
      <c r="F457" s="71" t="s">
        <v>965</v>
      </c>
      <c r="G457" s="66" t="s">
        <v>966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36</v>
      </c>
      <c r="O457" s="2" t="s">
        <v>79</v>
      </c>
      <c r="P457" s="66">
        <v>2026</v>
      </c>
      <c r="Q457" s="66" t="s">
        <v>129</v>
      </c>
      <c r="R457" s="66"/>
      <c r="S457" s="66"/>
      <c r="T457" s="80"/>
      <c r="U457" s="71" t="s">
        <v>591</v>
      </c>
    </row>
    <row r="458" spans="1:21" ht="13.8" hidden="1">
      <c r="A458" s="95"/>
      <c r="B458" s="71" t="s">
        <v>964</v>
      </c>
      <c r="C458" s="66" t="s">
        <v>149</v>
      </c>
      <c r="D458" s="66" t="s">
        <v>23</v>
      </c>
      <c r="E458" s="81"/>
      <c r="F458" s="71" t="s">
        <v>101</v>
      </c>
      <c r="G458" s="66" t="s">
        <v>967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97</v>
      </c>
      <c r="P458" s="66">
        <v>2025</v>
      </c>
      <c r="Q458" s="66" t="s">
        <v>37</v>
      </c>
      <c r="R458" s="87"/>
      <c r="S458" s="89"/>
      <c r="T458" s="80"/>
      <c r="U458" s="66" t="s">
        <v>154</v>
      </c>
    </row>
    <row r="459" spans="1:21" ht="37.950000000000003" hidden="1" customHeight="1">
      <c r="A459" s="95"/>
      <c r="B459" s="71" t="s">
        <v>964</v>
      </c>
      <c r="C459" s="66" t="s">
        <v>149</v>
      </c>
      <c r="D459" s="66" t="s">
        <v>41</v>
      </c>
      <c r="E459" s="81" t="s">
        <v>968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73</v>
      </c>
      <c r="O459" s="2" t="s">
        <v>50</v>
      </c>
      <c r="P459" s="66">
        <v>2025</v>
      </c>
      <c r="Q459" s="66" t="s">
        <v>37</v>
      </c>
      <c r="R459" s="66"/>
      <c r="S459" s="66"/>
      <c r="T459" s="80">
        <v>0.4</v>
      </c>
      <c r="U459" s="66"/>
    </row>
    <row r="460" spans="1:21" ht="37.950000000000003" hidden="1" customHeight="1">
      <c r="A460" s="95"/>
      <c r="B460" s="71" t="s">
        <v>964</v>
      </c>
      <c r="C460" s="66" t="s">
        <v>149</v>
      </c>
      <c r="D460" s="66" t="s">
        <v>41</v>
      </c>
      <c r="E460" s="81">
        <v>2025003050053</v>
      </c>
      <c r="F460" s="71" t="s">
        <v>969</v>
      </c>
      <c r="G460" s="66" t="s">
        <v>77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36</v>
      </c>
      <c r="O460" s="2" t="s">
        <v>79</v>
      </c>
      <c r="P460" s="66"/>
      <c r="Q460" s="66"/>
      <c r="R460" s="66"/>
      <c r="S460" s="66"/>
      <c r="T460" s="80"/>
      <c r="U460" s="66"/>
    </row>
    <row r="461" spans="1:21" ht="15" hidden="1" customHeight="1">
      <c r="A461" s="95"/>
      <c r="B461" s="71" t="s">
        <v>964</v>
      </c>
      <c r="C461" s="66" t="s">
        <v>149</v>
      </c>
      <c r="D461" s="66" t="s">
        <v>41</v>
      </c>
      <c r="E461" s="81" t="s">
        <v>970</v>
      </c>
      <c r="F461" s="71" t="s">
        <v>81</v>
      </c>
      <c r="G461" s="66" t="s">
        <v>77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73</v>
      </c>
      <c r="O461" s="71" t="s">
        <v>50</v>
      </c>
      <c r="P461" s="66">
        <v>2024</v>
      </c>
      <c r="Q461" s="66" t="s">
        <v>74</v>
      </c>
      <c r="R461" s="66"/>
      <c r="S461" s="66"/>
      <c r="T461" s="80">
        <v>1</v>
      </c>
      <c r="U461" s="71" t="s">
        <v>69</v>
      </c>
    </row>
    <row r="462" spans="1:21" ht="55.2" hidden="1">
      <c r="A462" s="66"/>
      <c r="B462" s="71" t="s">
        <v>971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972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79</v>
      </c>
      <c r="P462" s="66">
        <v>2024</v>
      </c>
      <c r="Q462" s="66" t="s">
        <v>37</v>
      </c>
      <c r="R462" s="66"/>
      <c r="S462" s="66"/>
      <c r="T462" s="70"/>
      <c r="U462" s="83" t="s">
        <v>136</v>
      </c>
    </row>
    <row r="463" spans="1:21" ht="43.2" hidden="1" customHeight="1">
      <c r="A463" s="66"/>
      <c r="B463" s="71" t="s">
        <v>971</v>
      </c>
      <c r="C463" s="66" t="s">
        <v>181</v>
      </c>
      <c r="D463" s="66" t="s">
        <v>41</v>
      </c>
      <c r="E463" s="81" t="s">
        <v>973</v>
      </c>
      <c r="F463" s="71" t="s">
        <v>974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37</v>
      </c>
      <c r="R463" s="66"/>
      <c r="S463" s="66"/>
      <c r="T463" s="80">
        <v>0.88</v>
      </c>
      <c r="U463" s="71"/>
    </row>
    <row r="464" spans="1:21" ht="43.2" hidden="1" customHeight="1">
      <c r="A464" s="66"/>
      <c r="B464" s="71" t="s">
        <v>971</v>
      </c>
      <c r="C464" s="66" t="s">
        <v>181</v>
      </c>
      <c r="D464" s="66" t="s">
        <v>41</v>
      </c>
      <c r="E464" s="81" t="s">
        <v>975</v>
      </c>
      <c r="F464" s="71" t="s">
        <v>976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37</v>
      </c>
      <c r="R464" s="66"/>
      <c r="S464" s="66"/>
      <c r="T464" s="80">
        <v>0.95</v>
      </c>
      <c r="U464" s="71"/>
    </row>
    <row r="465" spans="1:21" ht="43.2" hidden="1" customHeight="1">
      <c r="A465" s="66"/>
      <c r="B465" s="71" t="s">
        <v>971</v>
      </c>
      <c r="C465" s="66" t="s">
        <v>181</v>
      </c>
      <c r="D465" s="66" t="s">
        <v>174</v>
      </c>
      <c r="E465" s="81">
        <v>2025003050039</v>
      </c>
      <c r="F465" s="71" t="s">
        <v>977</v>
      </c>
      <c r="G465" s="71" t="s">
        <v>978</v>
      </c>
      <c r="H465" s="71" t="s">
        <v>978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36</v>
      </c>
      <c r="O465" s="71" t="s">
        <v>44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hidden="1" customHeight="1">
      <c r="A466" s="66"/>
      <c r="B466" s="71" t="s">
        <v>971</v>
      </c>
      <c r="C466" s="66" t="s">
        <v>181</v>
      </c>
      <c r="D466" s="66" t="s">
        <v>41</v>
      </c>
      <c r="E466" s="81" t="s">
        <v>979</v>
      </c>
      <c r="F466" s="71" t="s">
        <v>980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37</v>
      </c>
      <c r="R466" s="66"/>
      <c r="S466" s="66"/>
      <c r="T466" s="80">
        <v>0.9</v>
      </c>
      <c r="U466" s="71"/>
    </row>
    <row r="467" spans="1:21" ht="33.6" hidden="1" customHeight="1">
      <c r="A467" s="66">
        <v>114</v>
      </c>
      <c r="B467" s="71" t="s">
        <v>971</v>
      </c>
      <c r="C467" s="66" t="s">
        <v>181</v>
      </c>
      <c r="D467" s="66" t="s">
        <v>23</v>
      </c>
      <c r="E467" s="81"/>
      <c r="F467" s="71" t="s">
        <v>101</v>
      </c>
      <c r="G467" s="71" t="s">
        <v>830</v>
      </c>
      <c r="H467" s="71" t="s">
        <v>831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97</v>
      </c>
      <c r="P467" s="66">
        <v>2025</v>
      </c>
      <c r="Q467" s="66" t="s">
        <v>37</v>
      </c>
      <c r="R467" s="87"/>
      <c r="S467" s="89"/>
      <c r="T467" s="80"/>
      <c r="U467" s="66" t="s">
        <v>154</v>
      </c>
    </row>
    <row r="468" spans="1:21" ht="33.6" hidden="1" customHeight="1">
      <c r="A468" s="106"/>
      <c r="B468" s="71" t="s">
        <v>981</v>
      </c>
      <c r="C468" s="66" t="s">
        <v>40</v>
      </c>
      <c r="D468" s="66" t="s">
        <v>23</v>
      </c>
      <c r="E468" s="81"/>
      <c r="F468" s="71" t="s">
        <v>714</v>
      </c>
      <c r="G468" s="66" t="s">
        <v>715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97</v>
      </c>
      <c r="P468" s="66">
        <v>2023</v>
      </c>
      <c r="Q468" s="66"/>
      <c r="R468" s="66"/>
      <c r="S468" s="66"/>
      <c r="T468" s="70">
        <v>1</v>
      </c>
      <c r="U468" s="71" t="s">
        <v>69</v>
      </c>
    </row>
    <row r="469" spans="1:21" ht="33.6" hidden="1" customHeight="1">
      <c r="A469" s="106"/>
      <c r="B469" s="71" t="s">
        <v>325</v>
      </c>
      <c r="C469" s="66" t="s">
        <v>40</v>
      </c>
      <c r="D469" s="66" t="s">
        <v>41</v>
      </c>
      <c r="E469" s="81" t="s">
        <v>982</v>
      </c>
      <c r="F469" s="71" t="s">
        <v>983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984</v>
      </c>
      <c r="R469" s="66"/>
      <c r="S469" s="66"/>
      <c r="T469" s="70">
        <v>0.25</v>
      </c>
      <c r="U469" s="71"/>
    </row>
    <row r="470" spans="1:21" ht="33.6" hidden="1" customHeight="1">
      <c r="A470" s="106"/>
      <c r="B470" s="71" t="s">
        <v>325</v>
      </c>
      <c r="C470" s="66" t="s">
        <v>40</v>
      </c>
      <c r="D470" s="66" t="s">
        <v>41</v>
      </c>
      <c r="E470" s="81" t="s">
        <v>985</v>
      </c>
      <c r="F470" s="71" t="s">
        <v>986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37</v>
      </c>
      <c r="R470" s="66"/>
      <c r="S470" s="66"/>
      <c r="T470" s="70">
        <v>0.2</v>
      </c>
      <c r="U470" s="71"/>
    </row>
    <row r="471" spans="1:21" ht="33.6" hidden="1" customHeight="1">
      <c r="A471" s="106"/>
      <c r="B471" s="71" t="s">
        <v>325</v>
      </c>
      <c r="C471" s="66" t="s">
        <v>40</v>
      </c>
      <c r="D471" s="66" t="s">
        <v>41</v>
      </c>
      <c r="E471" s="81" t="s">
        <v>987</v>
      </c>
      <c r="F471" s="71" t="s">
        <v>988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74</v>
      </c>
      <c r="R471" s="66"/>
      <c r="S471" s="66"/>
      <c r="T471" s="70">
        <v>1</v>
      </c>
      <c r="U471" s="71"/>
    </row>
    <row r="472" spans="1:21" ht="33.6" hidden="1" customHeight="1">
      <c r="A472" s="106"/>
      <c r="B472" s="71" t="s">
        <v>325</v>
      </c>
      <c r="C472" s="66" t="s">
        <v>40</v>
      </c>
      <c r="D472" s="66" t="s">
        <v>41</v>
      </c>
      <c r="E472" s="81" t="s">
        <v>989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73</v>
      </c>
      <c r="O472" s="71" t="s">
        <v>50</v>
      </c>
      <c r="P472" s="66">
        <v>2025</v>
      </c>
      <c r="Q472" s="66" t="s">
        <v>74</v>
      </c>
      <c r="R472" s="66"/>
      <c r="S472" s="66"/>
      <c r="T472" s="70">
        <v>1</v>
      </c>
      <c r="U472" s="71" t="s">
        <v>75</v>
      </c>
    </row>
    <row r="473" spans="1:21" ht="33.6" hidden="1" customHeight="1">
      <c r="A473" s="106"/>
      <c r="B473" s="71" t="s">
        <v>325</v>
      </c>
      <c r="C473" s="66" t="s">
        <v>40</v>
      </c>
      <c r="D473" s="66"/>
      <c r="E473" s="81"/>
      <c r="F473" s="71" t="s">
        <v>990</v>
      </c>
      <c r="G473" s="66" t="s">
        <v>991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36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69</v>
      </c>
    </row>
    <row r="474" spans="1:21" ht="39" hidden="1" customHeight="1">
      <c r="A474" s="102"/>
      <c r="B474" s="71" t="s">
        <v>981</v>
      </c>
      <c r="C474" s="66" t="s">
        <v>40</v>
      </c>
      <c r="D474" s="66" t="s">
        <v>23</v>
      </c>
      <c r="E474" s="81"/>
      <c r="F474" s="71" t="s">
        <v>992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hidden="1" customHeight="1">
      <c r="A475" s="95">
        <v>116</v>
      </c>
      <c r="B475" s="71" t="s">
        <v>993</v>
      </c>
      <c r="C475" s="66" t="s">
        <v>84</v>
      </c>
      <c r="D475" s="66" t="s">
        <v>174</v>
      </c>
      <c r="E475" s="98">
        <v>2025003050036</v>
      </c>
      <c r="F475" s="71" t="s">
        <v>175</v>
      </c>
      <c r="G475" s="71" t="s">
        <v>994</v>
      </c>
      <c r="H475" s="71" t="s">
        <v>994</v>
      </c>
      <c r="I475" s="71"/>
      <c r="J475" s="71"/>
      <c r="K475" s="100">
        <f>+M475</f>
        <v>14202451801</v>
      </c>
      <c r="L475" s="100">
        <v>0</v>
      </c>
      <c r="M475" s="99">
        <v>14202451801</v>
      </c>
      <c r="N475" s="71" t="s">
        <v>36</v>
      </c>
      <c r="O475" s="71" t="s">
        <v>29</v>
      </c>
      <c r="P475" s="66">
        <v>2026</v>
      </c>
      <c r="Q475" s="66" t="s">
        <v>565</v>
      </c>
      <c r="R475" s="66"/>
      <c r="S475" s="66"/>
      <c r="T475" s="71"/>
      <c r="U475" s="96" t="s">
        <v>370</v>
      </c>
    </row>
    <row r="476" spans="1:21" ht="39" hidden="1" customHeight="1">
      <c r="A476" s="95"/>
      <c r="B476" s="71" t="s">
        <v>993</v>
      </c>
      <c r="C476" s="66" t="s">
        <v>84</v>
      </c>
      <c r="D476" s="66" t="s">
        <v>174</v>
      </c>
      <c r="E476" s="98"/>
      <c r="F476" s="71" t="s">
        <v>175</v>
      </c>
      <c r="G476" s="71" t="s">
        <v>995</v>
      </c>
      <c r="H476" s="71" t="s">
        <v>995</v>
      </c>
      <c r="I476" s="71"/>
      <c r="J476" s="71"/>
      <c r="K476" s="100"/>
      <c r="L476" s="100"/>
      <c r="M476" s="99"/>
      <c r="N476" s="71" t="s">
        <v>36</v>
      </c>
      <c r="O476" s="71" t="s">
        <v>29</v>
      </c>
      <c r="P476" s="66">
        <v>2026</v>
      </c>
      <c r="Q476" s="66" t="s">
        <v>565</v>
      </c>
      <c r="R476" s="66"/>
      <c r="S476" s="66"/>
      <c r="T476" s="71"/>
      <c r="U476" s="96"/>
    </row>
    <row r="477" spans="1:21" ht="39" hidden="1" customHeight="1">
      <c r="A477" s="95"/>
      <c r="B477" s="71" t="s">
        <v>993</v>
      </c>
      <c r="C477" s="66" t="s">
        <v>84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79</v>
      </c>
      <c r="P477" s="66">
        <v>2024</v>
      </c>
      <c r="Q477" s="66" t="s">
        <v>37</v>
      </c>
      <c r="R477" s="66"/>
      <c r="S477" s="66"/>
      <c r="T477" s="70">
        <v>0.87</v>
      </c>
      <c r="U477" s="71" t="s">
        <v>136</v>
      </c>
    </row>
    <row r="478" spans="1:21" ht="36" hidden="1" customHeight="1">
      <c r="A478" s="95"/>
      <c r="B478" s="71" t="s">
        <v>993</v>
      </c>
      <c r="C478" s="66" t="s">
        <v>84</v>
      </c>
      <c r="D478" s="66" t="s">
        <v>41</v>
      </c>
      <c r="E478" s="81" t="s">
        <v>146</v>
      </c>
      <c r="F478" s="71" t="s">
        <v>81</v>
      </c>
      <c r="G478" s="66" t="s">
        <v>77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74</v>
      </c>
      <c r="R478" s="66"/>
      <c r="S478" s="66"/>
      <c r="T478" s="40">
        <v>1</v>
      </c>
      <c r="U478" s="71" t="s">
        <v>75</v>
      </c>
    </row>
    <row r="479" spans="1:21" ht="36" hidden="1" customHeight="1">
      <c r="A479" s="66">
        <v>118</v>
      </c>
      <c r="B479" s="71" t="s">
        <v>996</v>
      </c>
      <c r="C479" s="66" t="s">
        <v>84</v>
      </c>
      <c r="D479" s="66" t="s">
        <v>23</v>
      </c>
      <c r="E479" s="81"/>
      <c r="F479" s="71" t="s">
        <v>101</v>
      </c>
      <c r="G479" s="66" t="s">
        <v>997</v>
      </c>
      <c r="H479" s="66" t="s">
        <v>998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97</v>
      </c>
      <c r="P479" s="66">
        <v>2025</v>
      </c>
      <c r="Q479" s="66" t="s">
        <v>37</v>
      </c>
      <c r="R479" s="87"/>
      <c r="S479" s="89"/>
      <c r="T479" s="80"/>
      <c r="U479" s="71" t="s">
        <v>705</v>
      </c>
    </row>
    <row r="480" spans="1:21" ht="36" hidden="1" customHeight="1">
      <c r="A480" s="66"/>
      <c r="B480" s="71" t="s">
        <v>999</v>
      </c>
      <c r="C480" s="66" t="s">
        <v>91</v>
      </c>
      <c r="D480" s="66" t="s">
        <v>41</v>
      </c>
      <c r="E480" s="81">
        <v>2023000040003</v>
      </c>
      <c r="F480" s="71" t="s">
        <v>92</v>
      </c>
      <c r="G480" s="66" t="s">
        <v>739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36</v>
      </c>
      <c r="O480" s="2"/>
      <c r="P480" s="66">
        <v>2020</v>
      </c>
      <c r="Q480" s="66" t="s">
        <v>37</v>
      </c>
      <c r="R480" s="66"/>
      <c r="S480" s="66"/>
      <c r="T480" s="70">
        <v>0.67749999999999999</v>
      </c>
      <c r="U480" s="71" t="s">
        <v>37</v>
      </c>
    </row>
    <row r="481" spans="1:21" ht="36" hidden="1" customHeight="1">
      <c r="A481" s="66"/>
      <c r="B481" s="71" t="s">
        <v>1000</v>
      </c>
      <c r="C481" s="66" t="s">
        <v>91</v>
      </c>
      <c r="D481" s="66" t="s">
        <v>119</v>
      </c>
      <c r="E481" s="81"/>
      <c r="F481" s="71" t="s">
        <v>1001</v>
      </c>
      <c r="G481" s="66" t="s">
        <v>1002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69</v>
      </c>
    </row>
    <row r="482" spans="1:21" ht="15" hidden="1" customHeight="1">
      <c r="A482" s="66">
        <v>119</v>
      </c>
      <c r="B482" s="71" t="s">
        <v>999</v>
      </c>
      <c r="C482" s="66" t="s">
        <v>91</v>
      </c>
      <c r="D482" s="66" t="s">
        <v>41</v>
      </c>
      <c r="E482" s="81" t="s">
        <v>1003</v>
      </c>
      <c r="F482" s="71" t="s">
        <v>400</v>
      </c>
      <c r="G482" s="66" t="s">
        <v>77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73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1004</v>
      </c>
    </row>
    <row r="483" spans="1:21" ht="35.4" hidden="1" customHeight="1">
      <c r="A483" s="66"/>
      <c r="B483" s="71" t="s">
        <v>1005</v>
      </c>
      <c r="C483" s="66" t="s">
        <v>84</v>
      </c>
      <c r="D483" s="66" t="s">
        <v>174</v>
      </c>
      <c r="E483" s="81">
        <v>2026003050012</v>
      </c>
      <c r="F483" s="71" t="s">
        <v>893</v>
      </c>
      <c r="G483" s="71" t="s">
        <v>1006</v>
      </c>
      <c r="H483" s="71" t="s">
        <v>1007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36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591</v>
      </c>
    </row>
    <row r="484" spans="1:21" ht="38.4" hidden="1" customHeight="1">
      <c r="A484" s="66"/>
      <c r="B484" s="71" t="s">
        <v>1005</v>
      </c>
      <c r="C484" s="66" t="s">
        <v>84</v>
      </c>
      <c r="D484" s="66" t="s">
        <v>174</v>
      </c>
      <c r="E484" s="81"/>
      <c r="F484" s="71" t="s">
        <v>644</v>
      </c>
      <c r="G484" s="71" t="s">
        <v>1008</v>
      </c>
      <c r="H484" s="71" t="s">
        <v>1008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36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588</v>
      </c>
    </row>
    <row r="485" spans="1:21" ht="36.6" hidden="1" customHeight="1">
      <c r="A485" s="66">
        <v>120</v>
      </c>
      <c r="B485" s="71" t="s">
        <v>1005</v>
      </c>
      <c r="C485" s="66" t="s">
        <v>84</v>
      </c>
      <c r="D485" s="66" t="s">
        <v>41</v>
      </c>
      <c r="E485" s="81" t="s">
        <v>146</v>
      </c>
      <c r="F485" s="71" t="s">
        <v>81</v>
      </c>
      <c r="G485" s="66" t="s">
        <v>77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hidden="1" customHeight="1">
      <c r="A486" s="95">
        <v>121</v>
      </c>
      <c r="B486" s="71" t="s">
        <v>1009</v>
      </c>
      <c r="C486" s="66" t="s">
        <v>181</v>
      </c>
      <c r="D486" s="66" t="s">
        <v>41</v>
      </c>
      <c r="E486" s="81" t="s">
        <v>1010</v>
      </c>
      <c r="F486" s="71" t="s">
        <v>1011</v>
      </c>
      <c r="G486" s="66" t="s">
        <v>1012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73</v>
      </c>
      <c r="O486" s="71" t="s">
        <v>50</v>
      </c>
      <c r="P486" s="66">
        <v>2024</v>
      </c>
      <c r="Q486" s="66" t="s">
        <v>69</v>
      </c>
      <c r="R486" s="66"/>
      <c r="S486" s="66"/>
      <c r="T486" s="80">
        <v>1</v>
      </c>
      <c r="U486" s="71"/>
    </row>
    <row r="487" spans="1:21" ht="36" hidden="1" customHeight="1">
      <c r="A487" s="95"/>
      <c r="B487" s="71" t="s">
        <v>1009</v>
      </c>
      <c r="C487" s="66" t="s">
        <v>181</v>
      </c>
      <c r="D487" s="66" t="s">
        <v>1013</v>
      </c>
      <c r="E487" s="81"/>
      <c r="F487" s="71" t="s">
        <v>1014</v>
      </c>
      <c r="G487" s="66" t="s">
        <v>1015</v>
      </c>
      <c r="H487" s="66" t="s">
        <v>1015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 hidden="1">
      <c r="A488" s="95"/>
      <c r="B488" s="71" t="s">
        <v>1009</v>
      </c>
      <c r="C488" s="66" t="s">
        <v>181</v>
      </c>
      <c r="D488" s="66" t="s">
        <v>66</v>
      </c>
      <c r="E488" s="81"/>
      <c r="F488" s="71" t="s">
        <v>1011</v>
      </c>
      <c r="G488" s="66" t="s">
        <v>77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984</v>
      </c>
      <c r="R488" s="66"/>
      <c r="S488" s="66"/>
      <c r="T488" s="80">
        <v>0.6</v>
      </c>
      <c r="U488" s="71" t="s">
        <v>1016</v>
      </c>
    </row>
    <row r="489" spans="1:21" ht="36" hidden="1" customHeight="1">
      <c r="A489" s="68"/>
      <c r="B489" s="71" t="s">
        <v>1017</v>
      </c>
      <c r="C489" s="66" t="s">
        <v>91</v>
      </c>
      <c r="D489" s="66" t="s">
        <v>41</v>
      </c>
      <c r="E489" s="81">
        <v>2023000040003</v>
      </c>
      <c r="F489" s="71" t="s">
        <v>92</v>
      </c>
      <c r="G489" s="66" t="s">
        <v>739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36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37</v>
      </c>
    </row>
    <row r="490" spans="1:21" ht="13.8" hidden="1">
      <c r="A490" s="68">
        <v>122</v>
      </c>
      <c r="B490" s="71" t="s">
        <v>1017</v>
      </c>
      <c r="C490" s="66" t="s">
        <v>91</v>
      </c>
      <c r="D490" s="66" t="s">
        <v>41</v>
      </c>
      <c r="E490" s="81" t="s">
        <v>1018</v>
      </c>
      <c r="F490" s="71" t="s">
        <v>81</v>
      </c>
      <c r="G490" s="66" t="s">
        <v>77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73</v>
      </c>
      <c r="O490" s="71" t="s">
        <v>50</v>
      </c>
      <c r="P490" s="66">
        <v>2025</v>
      </c>
      <c r="Q490" s="66" t="s">
        <v>37</v>
      </c>
      <c r="R490" s="66"/>
      <c r="S490" s="66"/>
      <c r="T490" s="80">
        <v>0.8</v>
      </c>
      <c r="U490" s="71"/>
    </row>
    <row r="491" spans="1:21" ht="13.8" hidden="1">
      <c r="A491" s="106"/>
      <c r="B491" s="71" t="s">
        <v>1019</v>
      </c>
      <c r="C491" s="66" t="s">
        <v>91</v>
      </c>
      <c r="D491" s="66" t="s">
        <v>41</v>
      </c>
      <c r="E491" s="81" t="s">
        <v>1020</v>
      </c>
      <c r="F491" s="71" t="s">
        <v>76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73</v>
      </c>
      <c r="O491" s="71" t="s">
        <v>50</v>
      </c>
      <c r="P491" s="66">
        <v>2025</v>
      </c>
      <c r="Q491" s="66" t="s">
        <v>37</v>
      </c>
      <c r="R491" s="66"/>
      <c r="S491" s="66"/>
      <c r="T491" s="80">
        <v>0.95</v>
      </c>
      <c r="U491" s="71"/>
    </row>
    <row r="492" spans="1:21" ht="13.8" hidden="1">
      <c r="A492" s="106"/>
      <c r="B492" s="71" t="s">
        <v>1019</v>
      </c>
      <c r="C492" s="66" t="s">
        <v>91</v>
      </c>
      <c r="D492" s="66" t="s">
        <v>41</v>
      </c>
      <c r="E492" s="81" t="s">
        <v>1021</v>
      </c>
      <c r="F492" s="71" t="s">
        <v>1022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 hidden="1">
      <c r="A493" s="106"/>
      <c r="B493" s="71" t="s">
        <v>1019</v>
      </c>
      <c r="C493" s="66" t="s">
        <v>91</v>
      </c>
      <c r="D493" s="66" t="s">
        <v>174</v>
      </c>
      <c r="E493" s="81">
        <v>2026003050013</v>
      </c>
      <c r="F493" s="66" t="s">
        <v>893</v>
      </c>
      <c r="G493" s="71" t="s">
        <v>1023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36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895</v>
      </c>
    </row>
    <row r="494" spans="1:21" ht="15" hidden="1" customHeight="1">
      <c r="A494" s="102"/>
      <c r="B494" s="71" t="s">
        <v>1019</v>
      </c>
      <c r="C494" s="66" t="s">
        <v>91</v>
      </c>
      <c r="D494" s="66" t="s">
        <v>41</v>
      </c>
      <c r="E494" s="81" t="s">
        <v>1024</v>
      </c>
      <c r="F494" s="71" t="s">
        <v>81</v>
      </c>
      <c r="G494" s="66" t="s">
        <v>1025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73</v>
      </c>
      <c r="O494" s="71" t="s">
        <v>50</v>
      </c>
      <c r="P494" s="66">
        <v>2024</v>
      </c>
      <c r="Q494" s="66" t="s">
        <v>37</v>
      </c>
      <c r="R494" s="66"/>
      <c r="S494" s="66"/>
      <c r="T494" s="80">
        <v>0.7</v>
      </c>
      <c r="U494" s="71"/>
    </row>
    <row r="495" spans="1:21" ht="15" hidden="1" customHeight="1">
      <c r="A495" s="95">
        <v>124</v>
      </c>
      <c r="B495" s="71" t="s">
        <v>1026</v>
      </c>
      <c r="C495" s="66" t="s">
        <v>149</v>
      </c>
      <c r="D495" s="66" t="s">
        <v>41</v>
      </c>
      <c r="E495" s="81" t="s">
        <v>1027</v>
      </c>
      <c r="F495" s="71" t="s">
        <v>81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73</v>
      </c>
      <c r="O495" s="71" t="s">
        <v>50</v>
      </c>
      <c r="P495" s="66">
        <v>2025</v>
      </c>
      <c r="Q495" s="66" t="s">
        <v>74</v>
      </c>
      <c r="R495" s="66"/>
      <c r="S495" s="66"/>
      <c r="T495" s="80">
        <v>1</v>
      </c>
      <c r="U495" s="71" t="s">
        <v>75</v>
      </c>
    </row>
    <row r="496" spans="1:21" ht="27.6" hidden="1">
      <c r="A496" s="95"/>
      <c r="B496" s="71" t="s">
        <v>1026</v>
      </c>
      <c r="C496" s="66" t="s">
        <v>149</v>
      </c>
      <c r="D496" s="66" t="s">
        <v>174</v>
      </c>
      <c r="E496" s="81" t="s">
        <v>62</v>
      </c>
      <c r="F496" s="71" t="s">
        <v>1028</v>
      </c>
      <c r="G496" s="71" t="s">
        <v>1029</v>
      </c>
      <c r="H496" s="71" t="s">
        <v>1029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36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 hidden="1">
      <c r="A497" s="95"/>
      <c r="B497" s="71" t="s">
        <v>1026</v>
      </c>
      <c r="C497" s="66" t="s">
        <v>149</v>
      </c>
      <c r="D497" s="66" t="s">
        <v>119</v>
      </c>
      <c r="E497" s="81"/>
      <c r="F497" s="71" t="s">
        <v>1030</v>
      </c>
      <c r="G497" s="71" t="s">
        <v>1031</v>
      </c>
      <c r="H497" s="71" t="s">
        <v>1031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74</v>
      </c>
      <c r="R497" s="66"/>
      <c r="S497" s="66"/>
      <c r="T497" s="80">
        <v>1</v>
      </c>
      <c r="U497" s="71" t="s">
        <v>82</v>
      </c>
    </row>
    <row r="498" spans="1:21" ht="40.200000000000003" hidden="1" customHeight="1">
      <c r="A498" s="95"/>
      <c r="B498" s="71" t="s">
        <v>1032</v>
      </c>
      <c r="C498" s="66" t="s">
        <v>149</v>
      </c>
      <c r="D498" s="66" t="s">
        <v>41</v>
      </c>
      <c r="E498" s="81" t="s">
        <v>146</v>
      </c>
      <c r="F498" s="71" t="s">
        <v>81</v>
      </c>
      <c r="G498" s="66" t="s">
        <v>77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74</v>
      </c>
      <c r="R498" s="66"/>
      <c r="S498" s="66"/>
      <c r="T498" s="70">
        <v>1</v>
      </c>
      <c r="U498" s="66" t="s">
        <v>75</v>
      </c>
    </row>
    <row r="499" spans="1:21" ht="40.200000000000003" hidden="1" customHeight="1">
      <c r="A499" s="66"/>
      <c r="B499" s="71" t="s">
        <v>1033</v>
      </c>
      <c r="C499" s="66" t="s">
        <v>336</v>
      </c>
      <c r="D499" s="66" t="s">
        <v>41</v>
      </c>
      <c r="E499" s="45" t="s">
        <v>692</v>
      </c>
      <c r="F499" s="71" t="s">
        <v>160</v>
      </c>
      <c r="G499" s="66" t="s">
        <v>740</v>
      </c>
      <c r="H499" s="66">
        <v>6</v>
      </c>
      <c r="I499" s="66" t="s">
        <v>26</v>
      </c>
      <c r="J499" s="66" t="s">
        <v>540</v>
      </c>
      <c r="K499" s="2">
        <v>5629794897</v>
      </c>
      <c r="L499" s="69">
        <v>0</v>
      </c>
      <c r="M499" s="2">
        <f>+K499</f>
        <v>5629794897</v>
      </c>
      <c r="N499" s="2" t="s">
        <v>694</v>
      </c>
      <c r="O499" s="71" t="s">
        <v>44</v>
      </c>
      <c r="P499" s="66">
        <v>2025</v>
      </c>
      <c r="Q499" s="66" t="s">
        <v>37</v>
      </c>
      <c r="R499" s="66"/>
      <c r="S499" s="66"/>
      <c r="T499" s="80">
        <v>0.02</v>
      </c>
      <c r="U499" s="71" t="s">
        <v>695</v>
      </c>
    </row>
    <row r="500" spans="1:21" ht="27.6" hidden="1">
      <c r="A500" s="96">
        <v>126</v>
      </c>
      <c r="B500" s="71" t="s">
        <v>1033</v>
      </c>
      <c r="C500" s="71" t="s">
        <v>336</v>
      </c>
      <c r="D500" s="71" t="s">
        <v>23</v>
      </c>
      <c r="E500" s="45" t="s">
        <v>726</v>
      </c>
      <c r="F500" s="71" t="s">
        <v>101</v>
      </c>
      <c r="G500" s="66" t="s">
        <v>1034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97</v>
      </c>
      <c r="P500" s="66">
        <v>2025</v>
      </c>
      <c r="Q500" s="66" t="s">
        <v>37</v>
      </c>
      <c r="R500" s="87"/>
      <c r="S500" s="89"/>
      <c r="T500" s="80"/>
      <c r="U500" s="71" t="s">
        <v>1035</v>
      </c>
    </row>
    <row r="501" spans="1:21" ht="13.8" hidden="1">
      <c r="A501" s="96"/>
      <c r="B501" s="71" t="s">
        <v>1033</v>
      </c>
      <c r="C501" s="71" t="s">
        <v>336</v>
      </c>
      <c r="D501" s="71" t="s">
        <v>41</v>
      </c>
      <c r="E501" s="45" t="s">
        <v>62</v>
      </c>
      <c r="F501" s="71" t="s">
        <v>1036</v>
      </c>
      <c r="G501" s="66" t="s">
        <v>1037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99</v>
      </c>
      <c r="O501" s="71" t="s">
        <v>62</v>
      </c>
      <c r="P501" s="66">
        <v>2025</v>
      </c>
      <c r="Q501" s="66"/>
      <c r="R501" s="66"/>
      <c r="S501" s="66"/>
      <c r="T501" s="80"/>
      <c r="U501" s="71"/>
    </row>
    <row r="502" spans="1:21" ht="78" hidden="1" customHeight="1">
      <c r="A502" s="96"/>
      <c r="B502" s="71" t="s">
        <v>1033</v>
      </c>
      <c r="C502" s="71" t="s">
        <v>336</v>
      </c>
      <c r="D502" s="71" t="s">
        <v>23</v>
      </c>
      <c r="E502" s="45" t="s">
        <v>62</v>
      </c>
      <c r="F502" s="71" t="s">
        <v>1038</v>
      </c>
      <c r="G502" s="71" t="s">
        <v>1039</v>
      </c>
      <c r="H502" s="71">
        <v>10</v>
      </c>
      <c r="I502" s="71" t="s">
        <v>89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838</v>
      </c>
      <c r="O502" s="71" t="s">
        <v>62</v>
      </c>
      <c r="P502" s="66">
        <v>2025</v>
      </c>
      <c r="Q502" s="66" t="s">
        <v>30</v>
      </c>
      <c r="R502" s="66"/>
      <c r="S502" s="66"/>
      <c r="T502" s="66"/>
      <c r="U502" s="71" t="s">
        <v>1040</v>
      </c>
    </row>
    <row r="503" spans="1:21" ht="41.4" hidden="1">
      <c r="A503" s="95">
        <v>127</v>
      </c>
      <c r="B503" s="71" t="s">
        <v>1041</v>
      </c>
      <c r="C503" s="66" t="s">
        <v>292</v>
      </c>
      <c r="D503" s="66" t="s">
        <v>23</v>
      </c>
      <c r="E503" s="81">
        <v>20240214000273</v>
      </c>
      <c r="F503" s="71" t="s">
        <v>1042</v>
      </c>
      <c r="G503" s="71" t="s">
        <v>1043</v>
      </c>
      <c r="H503" s="71">
        <v>2.8</v>
      </c>
      <c r="I503" s="71" t="s">
        <v>89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99</v>
      </c>
      <c r="O503" s="71" t="s">
        <v>62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1044</v>
      </c>
    </row>
    <row r="504" spans="1:21" ht="13.8" hidden="1">
      <c r="A504" s="95"/>
      <c r="B504" s="71" t="s">
        <v>1041</v>
      </c>
      <c r="C504" s="66" t="s">
        <v>292</v>
      </c>
      <c r="D504" s="66" t="s">
        <v>41</v>
      </c>
      <c r="E504" s="81" t="s">
        <v>1045</v>
      </c>
      <c r="F504" s="71" t="s">
        <v>265</v>
      </c>
      <c r="G504" s="71" t="s">
        <v>399</v>
      </c>
      <c r="H504" s="71">
        <v>0.5</v>
      </c>
      <c r="I504" s="71" t="s">
        <v>89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73</v>
      </c>
      <c r="O504" s="71" t="s">
        <v>114</v>
      </c>
      <c r="P504" s="66">
        <v>2025</v>
      </c>
      <c r="Q504" s="66" t="s">
        <v>37</v>
      </c>
      <c r="R504" s="66"/>
      <c r="S504" s="66"/>
      <c r="T504" s="70">
        <v>0.15</v>
      </c>
      <c r="U504" s="71"/>
    </row>
    <row r="505" spans="1:21" ht="55.2" hidden="1">
      <c r="A505" s="95"/>
      <c r="B505" s="51" t="s">
        <v>1041</v>
      </c>
      <c r="C505" s="52" t="s">
        <v>292</v>
      </c>
      <c r="D505" s="52" t="s">
        <v>41</v>
      </c>
      <c r="E505" s="53" t="s">
        <v>1046</v>
      </c>
      <c r="F505" s="51" t="s">
        <v>1047</v>
      </c>
      <c r="G505" s="52">
        <v>0</v>
      </c>
      <c r="H505" s="52">
        <v>0</v>
      </c>
      <c r="I505" s="52" t="s">
        <v>89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73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1048</v>
      </c>
    </row>
    <row r="506" spans="1:21" ht="55.95" hidden="1" customHeight="1">
      <c r="K506" s="27"/>
      <c r="M506" s="56"/>
      <c r="R506" s="33"/>
      <c r="S506" s="33"/>
      <c r="T506" s="57"/>
    </row>
    <row r="507" spans="1:21" ht="13.8" hidden="1">
      <c r="E507" s="55" t="s">
        <v>713</v>
      </c>
      <c r="K507" s="8"/>
      <c r="R507" s="33"/>
      <c r="S507" s="33"/>
      <c r="T507" s="29"/>
    </row>
    <row r="508" spans="1:21" ht="15" customHeight="1">
      <c r="H508" s="33">
        <f>SUBTOTAL(9,H111:H507)</f>
        <v>49.85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>
    <filterColumn colId="1">
      <filters>
        <filter val="La Ceja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14" t="s">
        <v>1049</v>
      </c>
      <c r="C2" s="114"/>
      <c r="D2" s="23" t="s">
        <v>1050</v>
      </c>
      <c r="E2" s="23" t="s">
        <v>1051</v>
      </c>
      <c r="F2" s="24" t="s">
        <v>1052</v>
      </c>
      <c r="G2" s="25" t="s">
        <v>1053</v>
      </c>
    </row>
    <row r="3" spans="2:9" ht="48" customHeight="1">
      <c r="B3" s="14" t="s">
        <v>1054</v>
      </c>
      <c r="C3" s="14" t="s">
        <v>1055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1056</v>
      </c>
      <c r="C4" s="15" t="s">
        <v>1057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1058</v>
      </c>
      <c r="C5" s="15" t="s">
        <v>1059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1060</v>
      </c>
      <c r="C6" s="15" t="s">
        <v>1061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1062</v>
      </c>
      <c r="C7" s="15" t="s">
        <v>1063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1064</v>
      </c>
      <c r="C8" s="15" t="s">
        <v>1065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1066</v>
      </c>
      <c r="C9" s="15" t="s">
        <v>1067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1068</v>
      </c>
      <c r="C10" s="15" t="s">
        <v>1069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2026-09-01T17:04:47Z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