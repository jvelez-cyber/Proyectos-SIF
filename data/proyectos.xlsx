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obantioquia-my.sharepoint.com/personal/vtobonl_antioquia_gov_co/Documents/"/>
    </mc:Choice>
  </mc:AlternateContent>
  <xr:revisionPtr revIDLastSave="134" documentId="8_{EB6AA456-4B84-40A1-9B64-E05026C77CC0}" xr6:coauthVersionLast="47" xr6:coauthVersionMax="47" xr10:uidLastSave="{E618C199-03E3-441F-BFB8-D0C64EFB3EE7}"/>
  <bookViews>
    <workbookView xWindow="-108" yWindow="-108" windowWidth="23256" windowHeight="13896" xr2:uid="{00000000-000D-0000-FFFF-FFFF00000000}"/>
  </bookViews>
  <sheets>
    <sheet name="Proyectos SIF" sheetId="22" r:id="rId1"/>
    <sheet name="Estabilización datos " sheetId="25" r:id="rId2"/>
  </sheets>
  <definedNames>
    <definedName name="_xlnm._FilterDatabase" localSheetId="0" hidden="1">'Proyectos SIF'!$A$2:$U$507</definedName>
    <definedName name="_xlnm.Print_Area" localSheetId="0">'Proyectos SIF'!$A$2:$V$507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95" i="22" l="1"/>
  <c r="H508" i="22" l="1"/>
  <c r="M460" i="22" l="1"/>
  <c r="M347" i="22" l="1"/>
  <c r="M348" i="22"/>
  <c r="M279" i="22" l="1"/>
  <c r="M280" i="22"/>
  <c r="M188" i="22"/>
  <c r="M184" i="22"/>
  <c r="M39" i="22"/>
  <c r="M15" i="22"/>
  <c r="M404" i="22"/>
  <c r="M292" i="22"/>
  <c r="M328" i="22"/>
  <c r="M322" i="22"/>
  <c r="M321" i="22"/>
  <c r="M227" i="22"/>
  <c r="M109" i="22"/>
  <c r="M105" i="22"/>
  <c r="M89" i="22"/>
  <c r="M76" i="22"/>
  <c r="M231" i="22"/>
  <c r="M428" i="22"/>
  <c r="M433" i="22"/>
  <c r="M44" i="22"/>
  <c r="K502" i="22"/>
  <c r="M499" i="22"/>
  <c r="K503" i="22"/>
  <c r="M294" i="22"/>
  <c r="M230" i="22"/>
  <c r="M477" i="22"/>
  <c r="M462" i="22"/>
  <c r="M452" i="22"/>
  <c r="M413" i="22"/>
  <c r="M369" i="22"/>
  <c r="M355" i="22"/>
  <c r="M335" i="22"/>
  <c r="M243" i="22"/>
  <c r="M186" i="22"/>
  <c r="M171" i="22"/>
  <c r="M169" i="22"/>
  <c r="M135" i="22"/>
  <c r="M78" i="22"/>
  <c r="M75" i="22"/>
  <c r="M32" i="22"/>
  <c r="M31" i="22"/>
  <c r="K21" i="22"/>
  <c r="M10" i="22"/>
  <c r="M12" i="22"/>
  <c r="K174" i="22"/>
  <c r="M174" i="22" s="1"/>
  <c r="K11" i="22"/>
  <c r="M11" i="22" s="1"/>
  <c r="M158" i="22"/>
  <c r="M132" i="22"/>
  <c r="M84" i="22"/>
  <c r="M126" i="22"/>
  <c r="M248" i="22"/>
  <c r="M160" i="22"/>
  <c r="I4" i="25"/>
  <c r="K209" i="22"/>
  <c r="M209" i="22" s="1"/>
  <c r="M56" i="22"/>
  <c r="M483" i="22"/>
  <c r="M465" i="22"/>
  <c r="M423" i="22"/>
  <c r="M379" i="22"/>
  <c r="M378" i="22"/>
  <c r="M327" i="22"/>
  <c r="M237" i="22"/>
  <c r="M123" i="22"/>
  <c r="M151" i="22"/>
  <c r="M57" i="22"/>
  <c r="M299" i="22"/>
  <c r="M464" i="22"/>
  <c r="M466" i="22"/>
  <c r="M463" i="22"/>
  <c r="M398" i="22"/>
  <c r="M65" i="22"/>
  <c r="M68" i="22"/>
  <c r="K66" i="22"/>
  <c r="G10" i="25"/>
  <c r="G4" i="25"/>
  <c r="G5" i="25"/>
  <c r="G6" i="25"/>
  <c r="G7" i="25"/>
  <c r="G8" i="25"/>
  <c r="G9" i="25"/>
  <c r="G3" i="25"/>
  <c r="M20" i="22"/>
  <c r="M178" i="22"/>
  <c r="K310" i="22"/>
  <c r="M310" i="22" s="1"/>
  <c r="K427" i="22"/>
  <c r="M427" i="22" s="1"/>
  <c r="K400" i="22"/>
  <c r="K256" i="22"/>
  <c r="M256" i="22" s="1"/>
  <c r="M217" i="22"/>
  <c r="M4" i="22"/>
  <c r="K360" i="22"/>
  <c r="M360" i="22" s="1"/>
  <c r="K385" i="22"/>
  <c r="M385" i="22" s="1"/>
  <c r="M3" i="22"/>
  <c r="K22" i="22"/>
  <c r="M22" i="22" s="1"/>
  <c r="K500" i="22"/>
  <c r="M500" i="22" s="1"/>
  <c r="K309" i="22"/>
  <c r="M309" i="22" s="1"/>
  <c r="K412" i="22"/>
  <c r="K417" i="22"/>
  <c r="M417" i="22" s="1"/>
  <c r="K439" i="22"/>
  <c r="M439" i="22" s="1"/>
  <c r="M364" i="22"/>
  <c r="M403" i="22"/>
  <c r="M390" i="22"/>
  <c r="M142" i="22"/>
  <c r="M199" i="22"/>
  <c r="M397" i="22"/>
  <c r="M421" i="22"/>
  <c r="M492" i="22"/>
  <c r="M134" i="22"/>
  <c r="M79" i="22"/>
  <c r="M80" i="22"/>
  <c r="M33" i="22"/>
  <c r="M6" i="22"/>
  <c r="M52" i="22"/>
  <c r="M339" i="22"/>
  <c r="M205" i="22"/>
  <c r="M333" i="22"/>
  <c r="M229" i="22"/>
  <c r="M131" i="22"/>
  <c r="M71" i="22"/>
  <c r="M104" i="22"/>
  <c r="M51" i="22"/>
  <c r="M489" i="22"/>
  <c r="M480" i="22"/>
  <c r="M317" i="22"/>
  <c r="M19" i="22"/>
  <c r="M426" i="22"/>
  <c r="M5" i="22"/>
  <c r="M497" i="22"/>
  <c r="M55" i="22"/>
  <c r="M437" i="22"/>
  <c r="M389" i="22"/>
  <c r="M383" i="22"/>
  <c r="M366" i="22"/>
  <c r="M350" i="22"/>
  <c r="M345" i="22"/>
  <c r="K346" i="22"/>
  <c r="M346" i="22" s="1"/>
  <c r="M291" i="22"/>
  <c r="M296" i="22"/>
  <c r="M290" i="22"/>
  <c r="M262" i="22"/>
  <c r="M259" i="22"/>
  <c r="M246" i="22"/>
  <c r="M195" i="22"/>
  <c r="M183" i="22"/>
  <c r="M162" i="22"/>
  <c r="M163" i="22"/>
  <c r="M148" i="22"/>
  <c r="K137" i="22"/>
  <c r="M137" i="22" s="1"/>
  <c r="M90" i="22"/>
  <c r="L401" i="22"/>
  <c r="M401" i="22" s="1"/>
  <c r="M505" i="22"/>
  <c r="M504" i="22"/>
  <c r="M496" i="22"/>
  <c r="M495" i="22"/>
  <c r="M494" i="22"/>
  <c r="M491" i="22"/>
  <c r="M490" i="22"/>
  <c r="M488" i="22"/>
  <c r="M487" i="22"/>
  <c r="M486" i="22"/>
  <c r="M484" i="22"/>
  <c r="M482" i="22"/>
  <c r="M481" i="22"/>
  <c r="K479" i="22"/>
  <c r="M479" i="22" s="1"/>
  <c r="K475" i="22"/>
  <c r="M474" i="22"/>
  <c r="M473" i="22"/>
  <c r="M472" i="22"/>
  <c r="M471" i="22"/>
  <c r="M470" i="22"/>
  <c r="M469" i="22"/>
  <c r="K467" i="22"/>
  <c r="M467" i="22" s="1"/>
  <c r="M461" i="22"/>
  <c r="M459" i="22"/>
  <c r="K458" i="22"/>
  <c r="M458" i="22" s="1"/>
  <c r="L456" i="22"/>
  <c r="K456" i="22"/>
  <c r="K454" i="22"/>
  <c r="M454" i="22" s="1"/>
  <c r="M453" i="22"/>
  <c r="M451" i="22"/>
  <c r="M450" i="22"/>
  <c r="M449" i="22"/>
  <c r="M448" i="22"/>
  <c r="L447" i="22"/>
  <c r="M445" i="22"/>
  <c r="K444" i="22"/>
  <c r="M443" i="22"/>
  <c r="M441" i="22"/>
  <c r="M440" i="22"/>
  <c r="M438" i="22"/>
  <c r="M436" i="22"/>
  <c r="M434" i="22"/>
  <c r="M432" i="22"/>
  <c r="M431" i="22"/>
  <c r="M430" i="22"/>
  <c r="M429" i="22"/>
  <c r="M420" i="22"/>
  <c r="M419" i="22"/>
  <c r="M412" i="22"/>
  <c r="M411" i="22"/>
  <c r="M409" i="22"/>
  <c r="M408" i="22"/>
  <c r="M407" i="22"/>
  <c r="K406" i="22"/>
  <c r="M406" i="22" s="1"/>
  <c r="M405" i="22"/>
  <c r="M402" i="22"/>
  <c r="M400" i="22"/>
  <c r="M399" i="22"/>
  <c r="M396" i="22"/>
  <c r="M395" i="22"/>
  <c r="K395" i="22"/>
  <c r="M394" i="22"/>
  <c r="K394" i="22"/>
  <c r="M392" i="22"/>
  <c r="M388" i="22"/>
  <c r="L387" i="22"/>
  <c r="K387" i="22"/>
  <c r="M384" i="22"/>
  <c r="M382" i="22"/>
  <c r="M380" i="22"/>
  <c r="K376" i="22"/>
  <c r="M376" i="22" s="1"/>
  <c r="K375" i="22"/>
  <c r="M375" i="22" s="1"/>
  <c r="K374" i="22"/>
  <c r="M374" i="22" s="1"/>
  <c r="M373" i="22"/>
  <c r="K373" i="22"/>
  <c r="L372" i="22"/>
  <c r="K372" i="22"/>
  <c r="M371" i="22"/>
  <c r="K370" i="22"/>
  <c r="M370" i="22" s="1"/>
  <c r="M367" i="22"/>
  <c r="M365" i="22"/>
  <c r="L363" i="22"/>
  <c r="K363" i="22"/>
  <c r="L362" i="22"/>
  <c r="K362" i="22"/>
  <c r="M361" i="22"/>
  <c r="K358" i="22"/>
  <c r="M357" i="22"/>
  <c r="M356" i="22"/>
  <c r="M354" i="22"/>
  <c r="K353" i="22"/>
  <c r="M353" i="22" s="1"/>
  <c r="K352" i="22"/>
  <c r="M351" i="22"/>
  <c r="L349" i="22"/>
  <c r="K349" i="22"/>
  <c r="M344" i="22"/>
  <c r="M343" i="22"/>
  <c r="M342" i="22"/>
  <c r="M341" i="22"/>
  <c r="M338" i="22"/>
  <c r="M337" i="22"/>
  <c r="K337" i="22" s="1"/>
  <c r="K336" i="22"/>
  <c r="M336" i="22" s="1"/>
  <c r="K331" i="22"/>
  <c r="M330" i="22"/>
  <c r="L329" i="22"/>
  <c r="M326" i="22"/>
  <c r="M325" i="22"/>
  <c r="M324" i="22"/>
  <c r="M323" i="22"/>
  <c r="K320" i="22"/>
  <c r="M320" i="22" s="1"/>
  <c r="L316" i="22"/>
  <c r="K316" i="22"/>
  <c r="M315" i="22"/>
  <c r="M314" i="22"/>
  <c r="K312" i="22"/>
  <c r="K307" i="22"/>
  <c r="M307" i="22" s="1"/>
  <c r="M306" i="22"/>
  <c r="M305" i="22"/>
  <c r="M304" i="22"/>
  <c r="M302" i="22"/>
  <c r="M301" i="22"/>
  <c r="M300" i="22"/>
  <c r="K298" i="22"/>
  <c r="M298" i="22" s="1"/>
  <c r="M297" i="22"/>
  <c r="M293" i="22"/>
  <c r="M288" i="22"/>
  <c r="M287" i="22"/>
  <c r="M286" i="22"/>
  <c r="M285" i="22"/>
  <c r="M284" i="22"/>
  <c r="K283" i="22"/>
  <c r="M283" i="22" s="1"/>
  <c r="M281" i="22"/>
  <c r="M278" i="22"/>
  <c r="M277" i="22"/>
  <c r="M276" i="22"/>
  <c r="M275" i="22"/>
  <c r="M274" i="22"/>
  <c r="M273" i="22"/>
  <c r="K272" i="22"/>
  <c r="M271" i="22"/>
  <c r="M270" i="22"/>
  <c r="M269" i="22"/>
  <c r="M268" i="22"/>
  <c r="M267" i="22"/>
  <c r="M265" i="22"/>
  <c r="M264" i="22"/>
  <c r="M263" i="22"/>
  <c r="M261" i="22"/>
  <c r="K261" i="22"/>
  <c r="M260" i="22"/>
  <c r="M258" i="22"/>
  <c r="M257" i="22"/>
  <c r="L255" i="22"/>
  <c r="M254" i="22"/>
  <c r="M253" i="22"/>
  <c r="M250" i="22"/>
  <c r="K249" i="22"/>
  <c r="M249" i="22" s="1"/>
  <c r="M244" i="22"/>
  <c r="M242" i="22"/>
  <c r="M240" i="22"/>
  <c r="M236" i="22"/>
  <c r="K235" i="22"/>
  <c r="M234" i="22"/>
  <c r="M228" i="22"/>
  <c r="M226" i="22"/>
  <c r="M224" i="22"/>
  <c r="K223" i="22"/>
  <c r="M223" i="22" s="1"/>
  <c r="M222" i="22"/>
  <c r="M220" i="22"/>
  <c r="M219" i="22"/>
  <c r="M218" i="22"/>
  <c r="M216" i="22"/>
  <c r="M215" i="22"/>
  <c r="L213" i="22"/>
  <c r="K213" i="22"/>
  <c r="K212" i="22"/>
  <c r="M212" i="22" s="1"/>
  <c r="M211" i="22"/>
  <c r="M210" i="22"/>
  <c r="L208" i="22"/>
  <c r="K208" i="22"/>
  <c r="M207" i="22"/>
  <c r="M206" i="22"/>
  <c r="L203" i="22"/>
  <c r="M202" i="22"/>
  <c r="M201" i="22"/>
  <c r="M198" i="22"/>
  <c r="K197" i="22"/>
  <c r="M197" i="22" s="1"/>
  <c r="M196" i="22"/>
  <c r="M193" i="22"/>
  <c r="K192" i="22"/>
  <c r="M192" i="22" s="1"/>
  <c r="K191" i="22"/>
  <c r="M191" i="22" s="1"/>
  <c r="K190" i="22"/>
  <c r="M189" i="22"/>
  <c r="M187" i="22"/>
  <c r="M185" i="22"/>
  <c r="M181" i="22"/>
  <c r="M180" i="22"/>
  <c r="M179" i="22"/>
  <c r="M177" i="22"/>
  <c r="M176" i="22"/>
  <c r="M175" i="22"/>
  <c r="M173" i="22"/>
  <c r="M172" i="22"/>
  <c r="M168" i="22"/>
  <c r="M167" i="22"/>
  <c r="K165" i="22"/>
  <c r="M165" i="22" s="1"/>
  <c r="K164" i="22"/>
  <c r="M164" i="22" s="1"/>
  <c r="L161" i="22"/>
  <c r="K161" i="22"/>
  <c r="M159" i="22"/>
  <c r="M157" i="22"/>
  <c r="M153" i="22"/>
  <c r="M152" i="22"/>
  <c r="K149" i="22"/>
  <c r="M149" i="22" s="1"/>
  <c r="M147" i="22"/>
  <c r="M146" i="22"/>
  <c r="M145" i="22"/>
  <c r="L144" i="22"/>
  <c r="M143" i="22"/>
  <c r="M140" i="22"/>
  <c r="M139" i="22"/>
  <c r="M138" i="22"/>
  <c r="L136" i="22"/>
  <c r="M133" i="22"/>
  <c r="M130" i="22"/>
  <c r="M129" i="22"/>
  <c r="L128" i="22"/>
  <c r="M125" i="22"/>
  <c r="M124" i="22"/>
  <c r="K122" i="22"/>
  <c r="M122" i="22" s="1"/>
  <c r="K121" i="22"/>
  <c r="M121" i="22" s="1"/>
  <c r="M120" i="22"/>
  <c r="M119" i="22"/>
  <c r="K117" i="22"/>
  <c r="M116" i="22"/>
  <c r="M115" i="22"/>
  <c r="M113" i="22"/>
  <c r="M112" i="22"/>
  <c r="M111" i="22"/>
  <c r="M110" i="22"/>
  <c r="M106" i="22"/>
  <c r="M102" i="22"/>
  <c r="M88" i="22"/>
  <c r="M87" i="22"/>
  <c r="M86" i="22"/>
  <c r="K85" i="22"/>
  <c r="M82" i="22"/>
  <c r="M81" i="22"/>
  <c r="K81" i="22"/>
  <c r="M77" i="22"/>
  <c r="M74" i="22"/>
  <c r="K73" i="22"/>
  <c r="M72" i="22"/>
  <c r="K72" i="22" s="1"/>
  <c r="M70" i="22"/>
  <c r="K69" i="22"/>
  <c r="M69" i="22" s="1"/>
  <c r="L64" i="22"/>
  <c r="M63" i="22"/>
  <c r="K62" i="22"/>
  <c r="M62" i="22" s="1"/>
  <c r="M59" i="22"/>
  <c r="K58" i="22"/>
  <c r="M58" i="22" s="1"/>
  <c r="M53" i="22"/>
  <c r="M50" i="22"/>
  <c r="M47" i="22"/>
  <c r="M46" i="22"/>
  <c r="M45" i="22"/>
  <c r="M41" i="22"/>
  <c r="K38" i="22"/>
  <c r="M38" i="22" s="1"/>
  <c r="M34" i="22"/>
  <c r="M30" i="22"/>
  <c r="M29" i="22"/>
  <c r="L28" i="22"/>
  <c r="M27" i="22"/>
  <c r="M26" i="22"/>
  <c r="M25" i="22"/>
  <c r="K24" i="22"/>
  <c r="M24" i="22" s="1"/>
  <c r="L18" i="22"/>
  <c r="M16" i="22"/>
  <c r="M14" i="22"/>
  <c r="M13" i="22"/>
  <c r="M9" i="22"/>
  <c r="M8" i="22"/>
  <c r="M118" i="22"/>
  <c r="M208" i="22" l="1"/>
  <c r="M387" i="22"/>
  <c r="M213" i="2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VALERIA TOBON LOPEZ</author>
  </authors>
  <commentList>
    <comment ref="I2" authorId="0" shapeId="0" xr:uid="{6676F77D-1D27-4F9D-A31D-E84E64596FB1}">
      <text>
        <r>
          <rPr>
            <b/>
            <sz val="9"/>
            <color indexed="81"/>
            <rFont val="Tahoma"/>
            <family val="2"/>
          </rPr>
          <t xml:space="preserve">VALERIA TOBON LOPEZ:
Cristian Quiceno 
</t>
        </r>
      </text>
    </comment>
    <comment ref="T168" authorId="0" shapeId="0" xr:uid="{32B8FCBD-DA53-462A-A5BA-947F44C6E815}">
      <text>
        <r>
          <rPr>
            <b/>
            <sz val="9"/>
            <color indexed="81"/>
            <rFont val="Tahoma"/>
            <family val="2"/>
          </rPr>
          <t>VALERIA TOBON LOPEZ:</t>
        </r>
        <r>
          <rPr>
            <sz val="9"/>
            <color indexed="81"/>
            <rFont val="Tahoma"/>
            <family val="2"/>
          </rPr>
          <t xml:space="preserve">
Solo ejecuto el 64% del proyecto.
</t>
        </r>
      </text>
    </comment>
    <comment ref="T300" authorId="0" shapeId="0" xr:uid="{3FD9FF89-12FB-4662-A595-405FE9FF5E81}">
      <text>
        <r>
          <rPr>
            <b/>
            <sz val="9"/>
            <color indexed="81"/>
            <rFont val="Tahoma"/>
            <family val="2"/>
          </rPr>
          <t>VALERIA TOBON LOPEZ:</t>
        </r>
        <r>
          <rPr>
            <sz val="9"/>
            <color indexed="81"/>
            <rFont val="Tahoma"/>
            <family val="2"/>
          </rPr>
          <t xml:space="preserve">
Terminado al 99%
</t>
        </r>
      </text>
    </comment>
    <comment ref="T449" authorId="0" shapeId="0" xr:uid="{1811FAC8-DB43-471C-8A0A-CE5A73DC922E}">
      <text>
        <r>
          <rPr>
            <b/>
            <sz val="9"/>
            <color indexed="81"/>
            <rFont val="Tahoma"/>
            <family val="2"/>
          </rPr>
          <t>VALERIA TOBON LOPEZ:</t>
        </r>
        <r>
          <rPr>
            <sz val="9"/>
            <color indexed="81"/>
            <rFont val="Tahoma"/>
            <family val="2"/>
          </rPr>
          <t xml:space="preserve">
Sólo se ejecutó el 33%
</t>
        </r>
      </text>
    </comment>
  </commentList>
</comments>
</file>

<file path=xl/sharedStrings.xml><?xml version="1.0" encoding="utf-8"?>
<sst xmlns="http://schemas.openxmlformats.org/spreadsheetml/2006/main" count="4720" uniqueCount="1073">
  <si>
    <t>PROYECTOS SIF</t>
  </si>
  <si>
    <t>Municipio</t>
  </si>
  <si>
    <t>Subregión</t>
  </si>
  <si>
    <t>Indicador PDD</t>
  </si>
  <si>
    <t>N° Contrato/Convenio/BPIN</t>
  </si>
  <si>
    <t>Proyecto/ Actividad</t>
  </si>
  <si>
    <t xml:space="preserve">Descripción/Alcance </t>
  </si>
  <si>
    <t xml:space="preserve">Alcance  </t>
  </si>
  <si>
    <t xml:space="preserve">Mapa </t>
  </si>
  <si>
    <t>Paquete</t>
  </si>
  <si>
    <t xml:space="preserve">Aporte Departamento </t>
  </si>
  <si>
    <t xml:space="preserve">Aporte Municipio </t>
  </si>
  <si>
    <t>Valor Total Proyecto</t>
  </si>
  <si>
    <t xml:space="preserve">Fuente Financiación </t>
  </si>
  <si>
    <t>Modalidad Contratación</t>
  </si>
  <si>
    <t>Vigencia</t>
  </si>
  <si>
    <t>Estado</t>
  </si>
  <si>
    <t>Fecha de Inicio</t>
  </si>
  <si>
    <t xml:space="preserve">Fecha de Terminación </t>
  </si>
  <si>
    <t xml:space="preserve">% Avance </t>
  </si>
  <si>
    <t xml:space="preserve">Comentarios/Alertas </t>
  </si>
  <si>
    <t>Abejorral</t>
  </si>
  <si>
    <t>Oriente</t>
  </si>
  <si>
    <t>RVS</t>
  </si>
  <si>
    <t xml:space="preserve">Mantenimiento  por Estabilización </t>
  </si>
  <si>
    <t xml:space="preserve">Abejorral - Santa Barbara
L= 23,77 km </t>
  </si>
  <si>
    <t xml:space="preserve">Sí </t>
  </si>
  <si>
    <t xml:space="preserve">Estabilización </t>
  </si>
  <si>
    <t>Recursos Propios</t>
  </si>
  <si>
    <t xml:space="preserve">Contratación Directa </t>
  </si>
  <si>
    <t xml:space="preserve">En ejecución </t>
  </si>
  <si>
    <t xml:space="preserve">Actividades preliminares 
Topografía, Expolaración geotécnica </t>
  </si>
  <si>
    <t xml:space="preserve">Mantenimiento por Estabilización 
</t>
  </si>
  <si>
    <t xml:space="preserve"> Abejorral - La Frontera
L=25,49 km</t>
  </si>
  <si>
    <t xml:space="preserve">RVU </t>
  </si>
  <si>
    <t>Mejoramiento de las vías urbanas en los municipios de Abejorral y Sonsón</t>
  </si>
  <si>
    <t xml:space="preserve">2,06 km </t>
  </si>
  <si>
    <t>Regalías</t>
  </si>
  <si>
    <t>Terminado</t>
  </si>
  <si>
    <t xml:space="preserve">Información tomada de Gesproy. 
Proyecto que se inició en la administración anterior </t>
  </si>
  <si>
    <t>Abriaquí</t>
  </si>
  <si>
    <t>Occidente</t>
  </si>
  <si>
    <t>RVT</t>
  </si>
  <si>
    <t>Mejoramiento de vías terciarias de los municipios del Occidente</t>
  </si>
  <si>
    <t>Abriaquí- Vía Quimulá</t>
  </si>
  <si>
    <t>Contratación Directa</t>
  </si>
  <si>
    <r>
      <t xml:space="preserve">Pavimentación Abriaquí-Frontino ( </t>
    </r>
    <r>
      <rPr>
        <b/>
        <sz val="11"/>
        <color theme="1"/>
        <rFont val="Poppins"/>
      </rPr>
      <t>siniestro)</t>
    </r>
  </si>
  <si>
    <t>Siniestro</t>
  </si>
  <si>
    <t xml:space="preserve">Equipamiento </t>
  </si>
  <si>
    <t>Adecuación y mejoramiento del parque principal</t>
  </si>
  <si>
    <t>1659 m2</t>
  </si>
  <si>
    <t>Convenio</t>
  </si>
  <si>
    <t xml:space="preserve">Terminado  </t>
  </si>
  <si>
    <t xml:space="preserve">Mejoramiento, actividades y obras complementarias sobre el corredor vial Buenos Aires ( Cañargordas)- Abriaquí </t>
  </si>
  <si>
    <t xml:space="preserve">10 km </t>
  </si>
  <si>
    <t xml:space="preserve">Mejoramiento </t>
  </si>
  <si>
    <t xml:space="preserve">7,9 km </t>
  </si>
  <si>
    <t xml:space="preserve">Vías Antioquia </t>
  </si>
  <si>
    <t>Alejandría</t>
  </si>
  <si>
    <t xml:space="preserve">Mantenimiento por estabilización
</t>
  </si>
  <si>
    <t>San Rafael  -San Roque  
Santo Domingo - Alejandría: L=25,72 km</t>
  </si>
  <si>
    <t>E &amp; D</t>
  </si>
  <si>
    <t>N/A</t>
  </si>
  <si>
    <t xml:space="preserve">Estudios y diseños OXI- Mantenimiento por Estabilización 
</t>
  </si>
  <si>
    <t xml:space="preserve">Santo Domingo- Alejandría: 
L= 5 km </t>
  </si>
  <si>
    <t>Conratación Directa</t>
  </si>
  <si>
    <t>RVU</t>
  </si>
  <si>
    <t>Pavimento Rígido- Vereda La Pava</t>
  </si>
  <si>
    <t xml:space="preserve">0,75 km </t>
  </si>
  <si>
    <t>Terminado 2025</t>
  </si>
  <si>
    <t>25AS111B2696</t>
  </si>
  <si>
    <t xml:space="preserve">Placa huella- Vía San José </t>
  </si>
  <si>
    <t xml:space="preserve">0,3 km </t>
  </si>
  <si>
    <t>Materiales</t>
  </si>
  <si>
    <t>Terminado 2026</t>
  </si>
  <si>
    <t xml:space="preserve">Placa huella </t>
  </si>
  <si>
    <t xml:space="preserve">1 km </t>
  </si>
  <si>
    <t>1 km</t>
  </si>
  <si>
    <t>Contratación directa</t>
  </si>
  <si>
    <t>24AS111B1776</t>
  </si>
  <si>
    <t>Placa Huella</t>
  </si>
  <si>
    <t>Terminado 2024</t>
  </si>
  <si>
    <t>Amagá</t>
  </si>
  <si>
    <t>Suroeste</t>
  </si>
  <si>
    <t>Amagá-Angelopolis</t>
  </si>
  <si>
    <t xml:space="preserve">11,2 km </t>
  </si>
  <si>
    <t>Placa huella en las veredas Pueblitos la Delgadita, Malabrigo y Maní del Cardal</t>
  </si>
  <si>
    <t xml:space="preserve">3,5 km </t>
  </si>
  <si>
    <t>No</t>
  </si>
  <si>
    <t>Amalfi</t>
  </si>
  <si>
    <t>Nordeste</t>
  </si>
  <si>
    <t>Mejoramiento de Vías Rurales en los Municipios de Amalfi Remedios Vegachí y Yalí</t>
  </si>
  <si>
    <t xml:space="preserve">3,3 km </t>
  </si>
  <si>
    <t>23OO111B1457</t>
  </si>
  <si>
    <r>
      <t xml:space="preserve">Mejoramiento de las vías del </t>
    </r>
    <r>
      <rPr>
        <b/>
        <sz val="11"/>
        <color theme="1"/>
        <rFont val="Poppins"/>
      </rPr>
      <t xml:space="preserve">GRUPO 1  </t>
    </r>
    <r>
      <rPr>
        <sz val="11"/>
        <color theme="1"/>
        <rFont val="Poppins"/>
      </rPr>
      <t xml:space="preserve">de Circuitos Estratégicos del Departamento de Antioquia. </t>
    </r>
    <r>
      <rPr>
        <b/>
        <sz val="11"/>
        <color theme="1"/>
        <rFont val="Poppins"/>
      </rPr>
      <t>LOTE 2: Nordeste</t>
    </r>
    <r>
      <rPr>
        <sz val="11"/>
        <color theme="1"/>
        <rFont val="Poppins"/>
      </rPr>
      <t xml:space="preserve"> </t>
    </r>
  </si>
  <si>
    <t>Playas - Portachuelo - Chorritos- Amalfi (62AN21-4): L=1 km</t>
  </si>
  <si>
    <t>Licitación Pública</t>
  </si>
  <si>
    <t>Mejoramiento de la vía entre el casco Urbano del Municipio 
de Amalfi y la vereda Chorritos.</t>
  </si>
  <si>
    <t>OXI</t>
  </si>
  <si>
    <t xml:space="preserve">Por iniciar </t>
  </si>
  <si>
    <t>Pendiente designación supervisor por parte de INVIAS</t>
  </si>
  <si>
    <t>Mantenimiento por estabilización</t>
  </si>
  <si>
    <t>Amalfi - Portachuelos - 
 Santa Isabel: L=10 km</t>
  </si>
  <si>
    <t>En ejecución de actividades de topografía y ensayos de laboratorio</t>
  </si>
  <si>
    <t>Placa huella en la vereda Guayabito y el Táparo</t>
  </si>
  <si>
    <t xml:space="preserve">2 km </t>
  </si>
  <si>
    <t xml:space="preserve">No </t>
  </si>
  <si>
    <t>Andes</t>
  </si>
  <si>
    <t>25OO111B2824</t>
  </si>
  <si>
    <t>Andes - San José -
 Pueblorrico: L=22,39 km</t>
  </si>
  <si>
    <t>24AS111B2029</t>
  </si>
  <si>
    <t xml:space="preserve">1km </t>
  </si>
  <si>
    <t xml:space="preserve">Estudios y diseños Fase III, destinados a  la intervención de la vía La Ye a la Bodega- Buenos Aires </t>
  </si>
  <si>
    <t xml:space="preserve">9,2 km </t>
  </si>
  <si>
    <t xml:space="preserve">Convenio </t>
  </si>
  <si>
    <t xml:space="preserve">Terminado </t>
  </si>
  <si>
    <t>26OO111B2863</t>
  </si>
  <si>
    <t>Mejoramiento vía La Ye a La Bodega (Andes) - Buenos Aires</t>
  </si>
  <si>
    <t xml:space="preserve">Adjudicado </t>
  </si>
  <si>
    <t>Espacio Público</t>
  </si>
  <si>
    <t xml:space="preserve">Parque La Chaparrala </t>
  </si>
  <si>
    <t>14373 m2</t>
  </si>
  <si>
    <t>24AS111B2047</t>
  </si>
  <si>
    <t>Mejoramiento mediante enrocado</t>
  </si>
  <si>
    <t>0,25 km</t>
  </si>
  <si>
    <t xml:space="preserve">Teminado </t>
  </si>
  <si>
    <t>Suspendido hasta el 29/03/2026</t>
  </si>
  <si>
    <t>Proyecto PAISA en Andes</t>
  </si>
  <si>
    <t>Cancha emblemática y mobiliario lúdico</t>
  </si>
  <si>
    <t xml:space="preserve">En estructuración </t>
  </si>
  <si>
    <t>En estructuración</t>
  </si>
  <si>
    <t>Valorización</t>
  </si>
  <si>
    <t>Estudios y diseños, destinados a la intervención de corredores viales del Departamento de Antioquia</t>
  </si>
  <si>
    <t xml:space="preserve">Tapartó (Andes): L= 21,57 km </t>
  </si>
  <si>
    <t xml:space="preserve">Valorización </t>
  </si>
  <si>
    <t xml:space="preserve">Contratación directa </t>
  </si>
  <si>
    <t>El valor total corresponde al valor de todo el convenio de estudios y diseños de los 14 corredores de valorización</t>
  </si>
  <si>
    <t xml:space="preserve">Estudios y diseños de vías a intervenir por Valorización </t>
  </si>
  <si>
    <t>Jericó-Buenos Aires- La Bodega ( Andes): 
L= 16,45</t>
  </si>
  <si>
    <t>25AS111B2781</t>
  </si>
  <si>
    <t>Placa huella JAC Vereda La Solita</t>
  </si>
  <si>
    <t xml:space="preserve">0,2 km </t>
  </si>
  <si>
    <t xml:space="preserve">Recursos Propios </t>
  </si>
  <si>
    <t xml:space="preserve">Placa huella Santa Rita </t>
  </si>
  <si>
    <t xml:space="preserve">6 km </t>
  </si>
  <si>
    <t>Angelópolis</t>
  </si>
  <si>
    <t>24AS111B1979</t>
  </si>
  <si>
    <t>Cafeteros / Materiales</t>
  </si>
  <si>
    <t>Angostura</t>
  </si>
  <si>
    <t>Norte</t>
  </si>
  <si>
    <t>24OO111B1661</t>
  </si>
  <si>
    <r>
      <t xml:space="preserve">Mejoramiento de las vías del </t>
    </r>
    <r>
      <rPr>
        <b/>
        <sz val="11"/>
        <color theme="1"/>
        <rFont val="Poppins"/>
      </rPr>
      <t xml:space="preserve">GRUPO 3 </t>
    </r>
    <r>
      <rPr>
        <sz val="11"/>
        <color theme="1"/>
        <rFont val="Poppins"/>
      </rPr>
      <t>de Circuitos Estratégicos del Departamento Antioquia</t>
    </r>
  </si>
  <si>
    <t>Vía La Ese - Angostura - La Ye (Partidas a Angostura) - La Herradura L=2,00 Km</t>
  </si>
  <si>
    <t>Carolina del Príncipe
  Angostura: L=13,62 km</t>
  </si>
  <si>
    <t>En actividades preliminares</t>
  </si>
  <si>
    <t>Placa huella 
Matablanco</t>
  </si>
  <si>
    <t xml:space="preserve">Sin contratar </t>
  </si>
  <si>
    <t xml:space="preserve">Se ejecutaron 1,26 km </t>
  </si>
  <si>
    <t>Anorí</t>
  </si>
  <si>
    <t>Placa huella Las Nieves-Las Casitas</t>
  </si>
  <si>
    <t xml:space="preserve">Estudios y diseños OXI- Mantenimiento por Estabilización </t>
  </si>
  <si>
    <t xml:space="preserve">Campamento-Anorí: L= 13 km </t>
  </si>
  <si>
    <t>-</t>
  </si>
  <si>
    <t xml:space="preserve">En estudios y diseños </t>
  </si>
  <si>
    <t>Mejoramiento de la vía Campamento - Río Nechí - Ye de Anorí 
en el municipio de Anorí, etapa I, Antioquia</t>
  </si>
  <si>
    <t xml:space="preserve">4 km </t>
  </si>
  <si>
    <r>
      <t xml:space="preserve">Se encuentra en la última etapa del proceso de contratación. 
</t>
    </r>
    <r>
      <rPr>
        <b/>
        <sz val="11"/>
        <color theme="1"/>
        <rFont val="Poppins"/>
      </rPr>
      <t xml:space="preserve">Contribuyente: Argos </t>
    </r>
  </si>
  <si>
    <t>Construcción de 2,4 kilometros de placa huella en la vereda La Casita</t>
  </si>
  <si>
    <t xml:space="preserve">2,4 km </t>
  </si>
  <si>
    <t xml:space="preserve">Viabilizado </t>
  </si>
  <si>
    <r>
      <t xml:space="preserve">Viabilizado el </t>
    </r>
    <r>
      <rPr>
        <b/>
        <sz val="11"/>
        <color theme="1"/>
        <rFont val="Poppins"/>
      </rPr>
      <t xml:space="preserve">16/02/2026. </t>
    </r>
    <r>
      <rPr>
        <sz val="11"/>
        <color theme="1"/>
        <rFont val="Poppins"/>
      </rPr>
      <t xml:space="preserve">
</t>
    </r>
    <r>
      <rPr>
        <b/>
        <sz val="11"/>
        <color theme="1"/>
        <rFont val="Poppins"/>
      </rPr>
      <t>23/04/2026.</t>
    </r>
    <r>
      <rPr>
        <sz val="11"/>
        <color theme="1"/>
        <rFont val="Poppins"/>
      </rPr>
      <t xml:space="preserve"> A la espera del cupo CONFIS que cierra el 31 de mayo de 2026</t>
    </r>
  </si>
  <si>
    <t>24AS111B1787</t>
  </si>
  <si>
    <t>Placa Huella- Vía La Primavera-Las Nieves
Vía La Primavera- La Guayana</t>
  </si>
  <si>
    <t>Anzá</t>
  </si>
  <si>
    <t>Puentes &amp; P.A.P</t>
  </si>
  <si>
    <t>Construcción Puente</t>
  </si>
  <si>
    <t>Puente vehicular Quebrada El Chocho</t>
  </si>
  <si>
    <t xml:space="preserve">En estructuración   </t>
  </si>
  <si>
    <t xml:space="preserve">En revisión y estructuración </t>
  </si>
  <si>
    <t>24AS111B2026</t>
  </si>
  <si>
    <t>Apartadó</t>
  </si>
  <si>
    <t>Urabá</t>
  </si>
  <si>
    <t>Placa huella Churidó</t>
  </si>
  <si>
    <t xml:space="preserve">Placa huella Puerto Girón </t>
  </si>
  <si>
    <t>Aprobar</t>
  </si>
  <si>
    <t xml:space="preserve">Parques Ciudad Nodo Ortiz- Vélez Etapa 1 </t>
  </si>
  <si>
    <t>9915 m2</t>
  </si>
  <si>
    <t xml:space="preserve">Licitación Pública </t>
  </si>
  <si>
    <t>Construcción de la cicloinfraestructura (biosaludable educativa y deportiva) urbanismo mejoramiento vial y obras complementarias de la calle 100 en el municipio de Apartadó</t>
  </si>
  <si>
    <t xml:space="preserve">2,05 km </t>
  </si>
  <si>
    <t>Mejoramiento en pavimento rígido de vías terciarias de los municipios del Urabá
(Asomura)</t>
  </si>
  <si>
    <t xml:space="preserve">16,61 km </t>
  </si>
  <si>
    <t xml:space="preserve">Parque La Martina </t>
  </si>
  <si>
    <t>5280 m2</t>
  </si>
  <si>
    <t xml:space="preserve">Finalizado sin terminar la ejecución  en el 2025 </t>
  </si>
  <si>
    <t>Arboletes</t>
  </si>
  <si>
    <t>Puente de la vereda Buenos Aires</t>
  </si>
  <si>
    <t xml:space="preserve">L= 13 m 
S=6 m </t>
  </si>
  <si>
    <t xml:space="preserve"> Funcionamiento Plaza de mercado </t>
  </si>
  <si>
    <r>
      <t>4692,22 m</t>
    </r>
    <r>
      <rPr>
        <vertAlign val="superscript"/>
        <sz val="10"/>
        <color theme="1"/>
        <rFont val="Poppins"/>
      </rPr>
      <t>2</t>
    </r>
  </si>
  <si>
    <t xml:space="preserve">Placa huella  Vereda Bajo la Arenosa </t>
  </si>
  <si>
    <t xml:space="preserve">1,1 km </t>
  </si>
  <si>
    <t>25AS111B2818</t>
  </si>
  <si>
    <t xml:space="preserve">Placa huella JAC Vereda Pajillal </t>
  </si>
  <si>
    <t xml:space="preserve">0,1 km </t>
  </si>
  <si>
    <t>25OO111B2822</t>
  </si>
  <si>
    <t>San Pedro de Urabá - 
Arboletes: L=30 km</t>
  </si>
  <si>
    <t>Argelia</t>
  </si>
  <si>
    <t xml:space="preserve">Actividades de mantenimiento manual </t>
  </si>
  <si>
    <t xml:space="preserve">8,8 km </t>
  </si>
  <si>
    <t>Mejoramiento de la vía terciaria del sector Villeta</t>
  </si>
  <si>
    <t>Placa huella Salida a la Cuchilla,Rosario, Villeta Florida, La Quiebra,Guaimaral - San Agustín - El Recreo</t>
  </si>
  <si>
    <t xml:space="preserve">En revisión y estructuración para viabilización </t>
  </si>
  <si>
    <t>Armenia</t>
  </si>
  <si>
    <t>25OO111B2821</t>
  </si>
  <si>
    <t xml:space="preserve">Armenia- Titiribí: L= 5 km </t>
  </si>
  <si>
    <t xml:space="preserve">Armenia- Titiribí: L= 5  </t>
  </si>
  <si>
    <t>Mejoramiento de los corredores Alto del Chuscal-Amenia- La Herradura-Titiribí, y La Miserenga- Ebéjico-Sevilla- Heliconia - Alto del Chuscal</t>
  </si>
  <si>
    <t xml:space="preserve">Alto del Chuscal-Amenia- La Herradura-Titiribí, y La Miserenga: L= 3 km
La Miserenga- Ebéjico-Sevilla- Heliconia - Alto del Chuscal: L=2,078 km </t>
  </si>
  <si>
    <t xml:space="preserve">Alto del Chuscal-Amenia- La Herradura-Titiribí, y La Miserenga: L= 3 
La Miserenga- Ebéjico-Sevilla- Heliconia - Alto del Chuscal: L=2,078  </t>
  </si>
  <si>
    <t xml:space="preserve">Regalías </t>
  </si>
  <si>
    <t>Estudios y diseños  destinados  a obras de mitigación, sobre la Vía, Alto Chuscal-Armenia-Herradura-Titiribí</t>
  </si>
  <si>
    <t>21 km</t>
  </si>
  <si>
    <t>Barbosa</t>
  </si>
  <si>
    <t>Valle de Aburrá</t>
  </si>
  <si>
    <t>25AS111B2789</t>
  </si>
  <si>
    <t xml:space="preserve">Placa huella JAC Vereda Aguas Claras </t>
  </si>
  <si>
    <t xml:space="preserve">Mejoramiento del corredor Barbosa-Concepción y construcción de obras de estabilización </t>
  </si>
  <si>
    <t>Bello</t>
  </si>
  <si>
    <t>Plaza de mercado</t>
  </si>
  <si>
    <t>12600 m2</t>
  </si>
  <si>
    <t>Terminado  2025</t>
  </si>
  <si>
    <t xml:space="preserve">Vía Machado: Vía Uniminuto- Copacabana </t>
  </si>
  <si>
    <t>6,1 km</t>
  </si>
  <si>
    <t>Belmira</t>
  </si>
  <si>
    <t xml:space="preserve">Sopetrán - Horizontes - 
Belmira: L= 33,59 km </t>
  </si>
  <si>
    <t xml:space="preserve">Sopetrán - Horizontes - 
Belmira: L= 33,59  </t>
  </si>
  <si>
    <r>
      <t xml:space="preserve">Mejoramiento de las vías del </t>
    </r>
    <r>
      <rPr>
        <b/>
        <sz val="11"/>
        <color theme="1"/>
        <rFont val="Poppins"/>
      </rPr>
      <t>GRUPO 3</t>
    </r>
    <r>
      <rPr>
        <sz val="11"/>
        <color theme="1"/>
        <rFont val="Poppins"/>
      </rPr>
      <t xml:space="preserve"> de circuitos estratégicos del departamento de Antioquia. </t>
    </r>
  </si>
  <si>
    <t>Vía El Chaquiro (Ruta 25) - Aragón - Te a Labores. km 27+291-km 26+591.Belmira</t>
  </si>
  <si>
    <t>Vía El Chaquiro (Ruta 25) - Aragón - Te a Labores.  27+291- 26+591.Belmira</t>
  </si>
  <si>
    <t xml:space="preserve">Betania </t>
  </si>
  <si>
    <t>Mejoramiento de vías terciarias, para la reactivación Económica, en los Municipios de Ciudad Bolivar, Hispania, Salgar y Betania</t>
  </si>
  <si>
    <t xml:space="preserve">5,1 km </t>
  </si>
  <si>
    <t>Betania</t>
  </si>
  <si>
    <r>
      <t xml:space="preserve">Mejoramiento y mantenimiento de las vías del </t>
    </r>
    <r>
      <rPr>
        <b/>
        <sz val="11"/>
        <color theme="1"/>
        <rFont val="Poppins"/>
      </rPr>
      <t xml:space="preserve">GRUPO 1 </t>
    </r>
    <r>
      <rPr>
        <sz val="11"/>
        <color theme="1"/>
        <rFont val="Poppins"/>
      </rPr>
      <t xml:space="preserve">de Circuitos Estratégicos del Departamento de Antioquia. </t>
    </r>
    <r>
      <rPr>
        <b/>
        <sz val="11"/>
        <color theme="1"/>
        <rFont val="Poppins"/>
      </rPr>
      <t>LOTE 1:</t>
    </r>
    <r>
      <rPr>
        <sz val="11"/>
        <color theme="1"/>
        <rFont val="Poppins"/>
      </rPr>
      <t xml:space="preserve"> Suroeste, Occidente y Urabá</t>
    </r>
  </si>
  <si>
    <t>Puente nuevo (ruta 60) - El Tablazo - Betania:  L=1 km</t>
  </si>
  <si>
    <t xml:space="preserve">Puente nuevo (ruta 60) - El Tablazo - Betania:  L=1 </t>
  </si>
  <si>
    <t>Puente vehicular La Solita (Puente Nuevo)</t>
  </si>
  <si>
    <t>En revisión y estructuración 
Etapa 2- Puentes</t>
  </si>
  <si>
    <t xml:space="preserve">31,1 km </t>
  </si>
  <si>
    <t xml:space="preserve">Betania-Puente Nuevo-Nacional 60: L=17,22 km </t>
  </si>
  <si>
    <t>Placa huella vía Pedral Arriba Sector San Luis</t>
  </si>
  <si>
    <t>24AS111B2057</t>
  </si>
  <si>
    <t>Fecha de reanudación 24/04/2026</t>
  </si>
  <si>
    <t>Betulia</t>
  </si>
  <si>
    <t xml:space="preserve">San José- Altamira-Cangrejo: L= 51,56 km </t>
  </si>
  <si>
    <t>25AS111B2773</t>
  </si>
  <si>
    <t xml:space="preserve">Placa huella JAC Vereda El Guadual </t>
  </si>
  <si>
    <t>25AS111B2780</t>
  </si>
  <si>
    <t>Placa huella JAC Vereda Los Animes</t>
  </si>
  <si>
    <r>
      <t xml:space="preserve">Mejoramiento y mantenimiento de las vías del </t>
    </r>
    <r>
      <rPr>
        <b/>
        <sz val="11"/>
        <color theme="1"/>
        <rFont val="Poppins"/>
      </rPr>
      <t>GRUPO 1</t>
    </r>
    <r>
      <rPr>
        <sz val="11"/>
        <color theme="1"/>
        <rFont val="Poppins"/>
      </rPr>
      <t xml:space="preserve"> de Circuitos Estratégicos del Departamento de Antioquia. </t>
    </r>
    <r>
      <rPr>
        <b/>
        <sz val="11"/>
        <color theme="1"/>
        <rFont val="Poppins"/>
      </rPr>
      <t>LOTE 1:</t>
    </r>
    <r>
      <rPr>
        <sz val="11"/>
        <color theme="1"/>
        <rFont val="Poppins"/>
      </rPr>
      <t xml:space="preserve"> Suroeste, Occidente y Urabá</t>
    </r>
  </si>
  <si>
    <t>Altamira - Betulia: L=1km</t>
  </si>
  <si>
    <t>Altamira - Betulia: L=1</t>
  </si>
  <si>
    <t>Briceño</t>
  </si>
  <si>
    <t>24AS111B1736</t>
  </si>
  <si>
    <t>Placa huella</t>
  </si>
  <si>
    <t>Pavimentación de la primera etapa de la via San Fermín – Briceño</t>
  </si>
  <si>
    <t xml:space="preserve">1,8 km </t>
  </si>
  <si>
    <t>25OO111B2581</t>
  </si>
  <si>
    <t>Construcción Puente San Fermín (Ruta 25) - Briceño Km 9+40</t>
  </si>
  <si>
    <t xml:space="preserve"> L= 26,0m S= 8,10m</t>
  </si>
  <si>
    <t xml:space="preserve">Valor total incluye el valor de la interventoría </t>
  </si>
  <si>
    <t>Mejoramiento de la vía San Fermín - Briceño Etapa 2 (Incluye interventoría)</t>
  </si>
  <si>
    <t xml:space="preserve">6,08 km </t>
  </si>
  <si>
    <t>SGR POR DEFINIR 
En subsanación de observaciones por parte del Min Transporte, Min Minas y DNP</t>
  </si>
  <si>
    <t>24AS111B2012</t>
  </si>
  <si>
    <t>25AS111B2637</t>
  </si>
  <si>
    <t>0,3 km</t>
  </si>
  <si>
    <t>Termiando 2026</t>
  </si>
  <si>
    <t xml:space="preserve">Placa huella  vereda El Roblal y el Sector la Ye </t>
  </si>
  <si>
    <t xml:space="preserve">0,782 km </t>
  </si>
  <si>
    <t>Placa huella en las veredas Buenavista y Chorrillo</t>
  </si>
  <si>
    <t>Interventoria RENTAN- San Fermín- Briceño</t>
  </si>
  <si>
    <t>Buriticá</t>
  </si>
  <si>
    <t>Construcción Puente vehicular corregimiento Llanos de Urarco</t>
  </si>
  <si>
    <t xml:space="preserve"> L= 17,5 m</t>
  </si>
  <si>
    <t xml:space="preserve">Próximo a presentación a Planeación departamental </t>
  </si>
  <si>
    <t>Construcción Puente vehicular vereda Palenque</t>
  </si>
  <si>
    <t xml:space="preserve"> L=21,5 m </t>
  </si>
  <si>
    <t>Placa huella en las veredas Alto del Obispo, Tabacal, Pajarito</t>
  </si>
  <si>
    <t xml:space="preserve">24,5 km </t>
  </si>
  <si>
    <t>Cáceres</t>
  </si>
  <si>
    <t>Bajo Cauca</t>
  </si>
  <si>
    <t>23OO111B2525</t>
  </si>
  <si>
    <t xml:space="preserve">Cáceres - La Chilona: L= 25 km </t>
  </si>
  <si>
    <t xml:space="preserve">
En actividades de topografía y se inició con los ensayos de laboratorio.</t>
  </si>
  <si>
    <t>Construcción puente peatonal sobre el río cauca en el corregimiento de Puerto Bélgica</t>
  </si>
  <si>
    <t xml:space="preserve">0,25 km </t>
  </si>
  <si>
    <t>Proponente Grupo Argos</t>
  </si>
  <si>
    <t>Se encuentran en revisión de las afectaciones dadas por la excavación en la zona de implantación y el tema de orden público.</t>
  </si>
  <si>
    <t>Caicedo</t>
  </si>
  <si>
    <t>25AS111B2641</t>
  </si>
  <si>
    <t>Construcción Puente La Soledad</t>
  </si>
  <si>
    <t xml:space="preserve"> L= 36 m </t>
  </si>
  <si>
    <t xml:space="preserve">Próximo  presentación a Planeación departamental </t>
  </si>
  <si>
    <t>25AS111B2784</t>
  </si>
  <si>
    <t>Placa huella JAC Vereda La Soledad</t>
  </si>
  <si>
    <t xml:space="preserve">12 km </t>
  </si>
  <si>
    <t>Construcción de placa huella de la vía de acceso de las veredas El Playón-Los Sauces</t>
  </si>
  <si>
    <t xml:space="preserve">Placa huella- Vereda San Juan </t>
  </si>
  <si>
    <t xml:space="preserve">Construcción del museo de la NO violencia </t>
  </si>
  <si>
    <t>636,98 m2</t>
  </si>
  <si>
    <t>Caldas</t>
  </si>
  <si>
    <r>
      <rPr>
        <b/>
        <sz val="11"/>
        <color theme="1"/>
        <rFont val="Poppins"/>
      </rPr>
      <t xml:space="preserve">CICLOCAMINABILIDAD </t>
    </r>
    <r>
      <rPr>
        <sz val="11"/>
        <color theme="1"/>
        <rFont val="Poppins"/>
      </rPr>
      <t xml:space="preserve">
Contrato interadministrativo para la gerencia técnica de la administración, recuperación mantenimiento y conservación, control y realización de obras en las vías férreas y sus anexidades del departamento de Antioquia
</t>
    </r>
  </si>
  <si>
    <t xml:space="preserve">Tramo 3: La Estrella- Caldas 7,68 km  </t>
  </si>
  <si>
    <t xml:space="preserve">Tramo 3: La Estrella- Caldas 7,68   </t>
  </si>
  <si>
    <t>Recursos propios + regalías</t>
  </si>
  <si>
    <t>El proceso precontractual está estructurado al interior de la SIF desde enero 2026, pero no se ha suscrito por ley de garantías</t>
  </si>
  <si>
    <t>Campamento</t>
  </si>
  <si>
    <t>Mejoramiento de la vía Campamento - Río Nechí - Ye de Anorí en el municipio de Campamento, etapa II, Antioquia</t>
  </si>
  <si>
    <t>Viabilizado</t>
  </si>
  <si>
    <t xml:space="preserve">Placa huella- Vereda El Limón </t>
  </si>
  <si>
    <t>24AS111B2050</t>
  </si>
  <si>
    <t xml:space="preserve">Caucasia </t>
  </si>
  <si>
    <t>Placa huella en la vía que conduce desde la vereda Campo Alegre a la vereda Santa Rosita</t>
  </si>
  <si>
    <t>Cañasgordas</t>
  </si>
  <si>
    <t xml:space="preserve">Museo </t>
  </si>
  <si>
    <t xml:space="preserve">24 m2 </t>
  </si>
  <si>
    <t xml:space="preserve">Mejoramiento y adecuación escuela Buenos Aires </t>
  </si>
  <si>
    <t>560 m2</t>
  </si>
  <si>
    <t>Recursos propios</t>
  </si>
  <si>
    <t>Túnel del Toyo</t>
  </si>
  <si>
    <t>7 túneles 
17 puentes
4,4 km a cielo abierto</t>
  </si>
  <si>
    <t>7 túneles 
17 puentes
4,4  a cielo abierto</t>
  </si>
  <si>
    <t>24AS111B2060</t>
  </si>
  <si>
    <t>Caracolí</t>
  </si>
  <si>
    <t>Magdalena Medio</t>
  </si>
  <si>
    <t xml:space="preserve">Pavimentación y puntos de atención prioritaria Vía San Jose del Nus </t>
  </si>
  <si>
    <t>5,5 km</t>
  </si>
  <si>
    <t xml:space="preserve">Licitación Publica </t>
  </si>
  <si>
    <t>Caramanta</t>
  </si>
  <si>
    <t xml:space="preserve">Ampliación, pavimentación, atención de sitios críticos y construcción de obras complementarias sobre el corredor vial Valparaíso – Caramanta – Puente Arquía. </t>
  </si>
  <si>
    <t xml:space="preserve">5,7 km </t>
  </si>
  <si>
    <t>En ejecución</t>
  </si>
  <si>
    <t>Placa huella Palmichal, Sucre</t>
  </si>
  <si>
    <t>Carepa</t>
  </si>
  <si>
    <t>Contratación del proceso para la compra de Maquinaria Amarilla</t>
  </si>
  <si>
    <t>24AS111B2013</t>
  </si>
  <si>
    <t>Carolina del Príncipe</t>
  </si>
  <si>
    <t>Carolina del Príncipe 
 Angostura: L= 13,62 km</t>
  </si>
  <si>
    <t xml:space="preserve">Carolina del Príncipe 
 Angostura: L= 13,62 </t>
  </si>
  <si>
    <t>Santa Rosa -
Carolina del Príncipe: L=33,67</t>
  </si>
  <si>
    <t>26OO111B2860</t>
  </si>
  <si>
    <t>PAP Puente Gabino-GomezPlata, El Guayabo, Carolina del Príncipe- La herradura-Partidas a Guadalupe - Guadalupe K41+900</t>
  </si>
  <si>
    <t xml:space="preserve">Adjudicado  </t>
  </si>
  <si>
    <r>
      <t xml:space="preserve">Aprobado
</t>
    </r>
    <r>
      <rPr>
        <b/>
        <sz val="11"/>
        <color theme="1"/>
        <rFont val="Poppins"/>
      </rPr>
      <t xml:space="preserve">Este proyecto esta en el mismo que P.A.P Ituango </t>
    </r>
  </si>
  <si>
    <t>Placa huella La Clarita</t>
  </si>
  <si>
    <t>Chigorodó</t>
  </si>
  <si>
    <t>La ejecución, puesta en marcha y operación del Sistema de Bicicletas Compartidas e intervención de la calle 93 en el Municipio de Chigorodó.</t>
  </si>
  <si>
    <t xml:space="preserve">Construcción Puente Remigio </t>
  </si>
  <si>
    <t xml:space="preserve">L= 20 m </t>
  </si>
  <si>
    <t>En proceso de aprobación por parte de Planeación Departamental</t>
  </si>
  <si>
    <t>Mejoramiento de la vía que conduce al sector de Coco</t>
  </si>
  <si>
    <t xml:space="preserve">L= 1 km </t>
  </si>
  <si>
    <t xml:space="preserve">Contatación Directa </t>
  </si>
  <si>
    <t xml:space="preserve">Mejoramiento vías Urbanas- Pavimento Rígido </t>
  </si>
  <si>
    <t xml:space="preserve">0,538  km </t>
  </si>
  <si>
    <t>Cisneros</t>
  </si>
  <si>
    <t>Construcción de Puentes y PAP</t>
  </si>
  <si>
    <t>Puente vehicular La Cristalina  L=65m</t>
  </si>
  <si>
    <t>Ejecutor Asignado</t>
  </si>
  <si>
    <t>24AS111B1735</t>
  </si>
  <si>
    <t>Ciudad Bolívar</t>
  </si>
  <si>
    <t>0,488 km</t>
  </si>
  <si>
    <t>24AS111B1728</t>
  </si>
  <si>
    <t xml:space="preserve">1,332 km </t>
  </si>
  <si>
    <t>25AS111B2783</t>
  </si>
  <si>
    <t>Placa huella JAC Vereda Angostura Parte Alta</t>
  </si>
  <si>
    <t>Ciudad Bolivar-Salgar: L=33,46 km</t>
  </si>
  <si>
    <t>Placa huella- Manzanillo</t>
  </si>
  <si>
    <t>Terminado 20226</t>
  </si>
  <si>
    <t>Cocorná</t>
  </si>
  <si>
    <r>
      <t xml:space="preserve">Mejoramiento y mantenimiento de las vías del </t>
    </r>
    <r>
      <rPr>
        <b/>
        <sz val="11"/>
        <color theme="1"/>
        <rFont val="Poppins"/>
      </rPr>
      <t xml:space="preserve">GRUPO 1 </t>
    </r>
    <r>
      <rPr>
        <sz val="11"/>
        <color theme="1"/>
        <rFont val="Poppins"/>
      </rPr>
      <t xml:space="preserve">de Circuitos Estratégicos del Departamento de Antioquia, </t>
    </r>
    <r>
      <rPr>
        <b/>
        <sz val="11"/>
        <color theme="1"/>
        <rFont val="Poppins"/>
      </rPr>
      <t>LOTE 3:</t>
    </r>
    <r>
      <rPr>
        <sz val="11"/>
        <color theme="1"/>
        <rFont val="Poppins"/>
      </rPr>
      <t xml:space="preserve"> ORIENTE</t>
    </r>
  </si>
  <si>
    <t>Cocorná - El Ramal (60AN17-1): L=2,00 km
Cruces- Narices (60AN20-1-1): L=0,995 km</t>
  </si>
  <si>
    <t xml:space="preserve">Cocorná - El Ramal (60AN17-1): L=2,00 
Cruces- Narices (60AN20-1-1): L=0,995 </t>
  </si>
  <si>
    <t>Suspendido</t>
  </si>
  <si>
    <t>24AS111B2042</t>
  </si>
  <si>
    <t>Puentes Metálicos (Cocorná [San Bartolo y La Trinidad])</t>
  </si>
  <si>
    <t>Puente quebrada San Bartolo 
Puente quebrada La Trinidad</t>
  </si>
  <si>
    <t>Proyecto PAISA en Cocorná</t>
  </si>
  <si>
    <t>Mobiliario</t>
  </si>
  <si>
    <t>Convenio construcción puente peatonal provisional San Bartolo - Cocorná</t>
  </si>
  <si>
    <t xml:space="preserve">50 m </t>
  </si>
  <si>
    <t>25AS111B2813</t>
  </si>
  <si>
    <t>Placa huella JAC Vereda Palmirita</t>
  </si>
  <si>
    <t>Placa Huella- Vía Sanata Bárbara C.E.R El Molino</t>
  </si>
  <si>
    <t xml:space="preserve">1,5 km </t>
  </si>
  <si>
    <t>Concepción</t>
  </si>
  <si>
    <t>24AS111B1750</t>
  </si>
  <si>
    <t xml:space="preserve">0,5 km </t>
  </si>
  <si>
    <t>Pavimento Rígido</t>
  </si>
  <si>
    <t xml:space="preserve">0,874 km </t>
  </si>
  <si>
    <t>Concordia</t>
  </si>
  <si>
    <t xml:space="preserve">84,90 km </t>
  </si>
  <si>
    <t>Salgar - La Quiebra - Concordia: L=15,93 km</t>
  </si>
  <si>
    <t xml:space="preserve">Salgar - La Quiebra - Concordia: L=15,93 </t>
  </si>
  <si>
    <t xml:space="preserve">1  km </t>
  </si>
  <si>
    <t>Copacabana</t>
  </si>
  <si>
    <t>Construcción Puente La Asunción</t>
  </si>
  <si>
    <t xml:space="preserve"> L= 12 m </t>
  </si>
  <si>
    <t>24AS111B2025</t>
  </si>
  <si>
    <t xml:space="preserve">1,71 km </t>
  </si>
  <si>
    <t xml:space="preserve">Se ejecutaron 655 m de 1,7 km </t>
  </si>
  <si>
    <t>Dabeiba</t>
  </si>
  <si>
    <t xml:space="preserve">Muro de contención </t>
  </si>
  <si>
    <t>Atención de punto critico en la vía que conduce al corregimiento de San Jose de Urama km 22+000</t>
  </si>
  <si>
    <t>Atención de punto critico en la vía que conduce al corregimiento de San Jose de Urama  22+000</t>
  </si>
  <si>
    <t>Mejoramiento de la vía Dabeiba – Camparrusia – Tramo 2 en la subregión Occidente del departamento de Antioquia.</t>
  </si>
  <si>
    <t xml:space="preserve">4,1 km </t>
  </si>
  <si>
    <t xml:space="preserve">Construcción del Puente Vehicular Las Cruces, en la vía que conecta el casco urbano de Dabeiba y el corregimiento Camparrusia </t>
  </si>
  <si>
    <t>0.046 km</t>
  </si>
  <si>
    <t xml:space="preserve">0.046 </t>
  </si>
  <si>
    <t>Revisión de diseños por parte del contratista</t>
  </si>
  <si>
    <t>Mejoramiento de la vía Dabeiba–Camparrusia en la subregión Occidente del Departamento de Antioquia ( Tramo 1 )</t>
  </si>
  <si>
    <t>Se tiente contratada la Obra y está en proceso la contratación de la Interventoría</t>
  </si>
  <si>
    <t>25AS111B2682</t>
  </si>
  <si>
    <t>24AS111B2038</t>
  </si>
  <si>
    <t>Donmatías</t>
  </si>
  <si>
    <t>Mejoramiento de 22 km  por el mecanismo de  estabilización , que conectan a los municipios de San Pedro de los Milagros – Río Chico (Donmatías) y Entrerríos – San José de la Montaña.</t>
  </si>
  <si>
    <t>Mejoramiento en pavimento flexible en Vía de acceso a la vereda Iborra.</t>
  </si>
  <si>
    <t xml:space="preserve">1,95 km </t>
  </si>
  <si>
    <t>Construcción Parques de La Quebrada Donmatías</t>
  </si>
  <si>
    <t xml:space="preserve">4,052 m2 </t>
  </si>
  <si>
    <t>24AS111B2058</t>
  </si>
  <si>
    <t>Placa Huella- Vía Arenales</t>
  </si>
  <si>
    <t>Ebéjico</t>
  </si>
  <si>
    <t xml:space="preserve">Mantenimiento por estabilización </t>
  </si>
  <si>
    <t xml:space="preserve">Ebéjico-Miiserenga: L= 1 km </t>
  </si>
  <si>
    <t xml:space="preserve">Ebéjico-Miiserenga: L= 1  </t>
  </si>
  <si>
    <t>Ebéjico - Heliconia - 
Medellin: L=28,76 km</t>
  </si>
  <si>
    <t xml:space="preserve">Ebéjico - Heliconia - 
Medellin: L=28,76 </t>
  </si>
  <si>
    <t xml:space="preserve">0,650 km </t>
  </si>
  <si>
    <t>El Bagre</t>
  </si>
  <si>
    <t>25AS111B2791</t>
  </si>
  <si>
    <t>Placa huella JAC La Bamba</t>
  </si>
  <si>
    <t>24AS111B2015</t>
  </si>
  <si>
    <t xml:space="preserve">Placa Huella en las vía Luis Cano- El perico, El Bagre- El Real </t>
  </si>
  <si>
    <t xml:space="preserve">0,66 km </t>
  </si>
  <si>
    <t>Solo se ejecutó el 64% del proyecto.</t>
  </si>
  <si>
    <t>El carmen de viboral</t>
  </si>
  <si>
    <t xml:space="preserve">El Canadá-El Carmen: L= 5,61 km </t>
  </si>
  <si>
    <t xml:space="preserve">Vías a intervenir por Valorización </t>
  </si>
  <si>
    <t>El Carmen de Viboral- El Santuario:
 L= 12 km</t>
  </si>
  <si>
    <t xml:space="preserve">Estudios y diseños de Vías a intervenir por Valorización </t>
  </si>
  <si>
    <t>La Unión- Carmen de Viboral: 
L= 18,79 km</t>
  </si>
  <si>
    <t>25AS111B2795</t>
  </si>
  <si>
    <t>El Carmen de Viboral</t>
  </si>
  <si>
    <t>24AS111B2218</t>
  </si>
  <si>
    <t>El Peñol</t>
  </si>
  <si>
    <t>San Vicente - 
El Peñol: L=18,15 km</t>
  </si>
  <si>
    <t xml:space="preserve">San Vicente - 
El Peñol: L=18,15 </t>
  </si>
  <si>
    <r>
      <t xml:space="preserve">En contratación RENTAN 
</t>
    </r>
    <r>
      <rPr>
        <b/>
        <sz val="11"/>
        <color rgb="FF000000"/>
        <rFont val="Poppins"/>
      </rPr>
      <t>Fecha de contratación: ABRIL 2026</t>
    </r>
  </si>
  <si>
    <t>24AS111B2018</t>
  </si>
  <si>
    <t xml:space="preserve">2  km </t>
  </si>
  <si>
    <t>25AS111B2788</t>
  </si>
  <si>
    <t>Placa huella JAC Horizontes</t>
  </si>
  <si>
    <t>Obras de mitigación en la Vía San Vicente-  Peñol- La Magdalena</t>
  </si>
  <si>
    <t xml:space="preserve">El peñol </t>
  </si>
  <si>
    <t>25AS111B2663</t>
  </si>
  <si>
    <t xml:space="preserve">El Peñol </t>
  </si>
  <si>
    <t>25AS111B2159</t>
  </si>
  <si>
    <t>En  ejecución</t>
  </si>
  <si>
    <t>El Retiro</t>
  </si>
  <si>
    <t xml:space="preserve">Carabanchel- La María  ETAPA 1 </t>
  </si>
  <si>
    <t xml:space="preserve">1,3 km </t>
  </si>
  <si>
    <t xml:space="preserve">Carabanchel- La María ETAPA 2 </t>
  </si>
  <si>
    <t>$ 18.068.070.651</t>
  </si>
  <si>
    <t>Recurso Propios</t>
  </si>
  <si>
    <t xml:space="preserve">Mejoramiento y obras complementarias 
Vía Corta El Retiro </t>
  </si>
  <si>
    <t>Completar alcantarillado pluvial, incluyendo MH, cajas colectoras y sumideros,  Culminar ciclorrutas incluida la estructura,  Culminar andenes, Pavimentación faltante incluida la estructura,  Muros de contención,  Completar el componente eléctrico, Señalización horizontal y vertical tanto de la vía como de la ciclorruta</t>
  </si>
  <si>
    <t xml:space="preserve">Placa huella Vereda Pantalio </t>
  </si>
  <si>
    <t xml:space="preserve">1 km  </t>
  </si>
  <si>
    <t xml:space="preserve">Decreto firmado </t>
  </si>
  <si>
    <t>24AS111B2065</t>
  </si>
  <si>
    <t>El Santuario</t>
  </si>
  <si>
    <t>El Carmen de Viboral- El Santuario: L= 12 km</t>
  </si>
  <si>
    <t xml:space="preserve">Variante 0+900 </t>
  </si>
  <si>
    <t xml:space="preserve">1,03 km </t>
  </si>
  <si>
    <t>APP</t>
  </si>
  <si>
    <t>Estudios y diseños App Santuario- Providencia</t>
  </si>
  <si>
    <t xml:space="preserve">76 km </t>
  </si>
  <si>
    <t>Entrerríos</t>
  </si>
  <si>
    <t>23OO111B1459</t>
  </si>
  <si>
    <r>
      <t xml:space="preserve">Mejoramiento de las vías del </t>
    </r>
    <r>
      <rPr>
        <b/>
        <sz val="11"/>
        <color theme="1"/>
        <rFont val="Poppins"/>
      </rPr>
      <t>GRUPO 2</t>
    </r>
    <r>
      <rPr>
        <sz val="11"/>
        <color theme="1"/>
        <rFont val="Poppins"/>
      </rPr>
      <t xml:space="preserve"> de Circuitos Estratégicos del Departamento de Antioquia</t>
    </r>
  </si>
  <si>
    <t xml:space="preserve">Entrerríos - Te Labores: L=6 km
 Entrerríos - San José de La Montaña: L=1 km </t>
  </si>
  <si>
    <t xml:space="preserve">Entrerríos - Te Labores: L=6 
 Entrerríos - San José de La Montaña: L=1  </t>
  </si>
  <si>
    <t>Regalías + Recursos Propios</t>
  </si>
  <si>
    <t>Entrerríos - Labores - 
San José de la Montana:
 L= 33,95 km</t>
  </si>
  <si>
    <t xml:space="preserve">Entrerríos - Labores - 
San José de la Montana:
 L= 33,95 </t>
  </si>
  <si>
    <t xml:space="preserve">Mejoramiento mediante enrocado </t>
  </si>
  <si>
    <t xml:space="preserve">0,250 km </t>
  </si>
  <si>
    <t>Placa huella en las veredas  Pio XIII - El Progreso</t>
  </si>
  <si>
    <t>Envigado</t>
  </si>
  <si>
    <t>Fredonia</t>
  </si>
  <si>
    <t xml:space="preserve">69,90 km </t>
  </si>
  <si>
    <t>24AS111B2059</t>
  </si>
  <si>
    <t xml:space="preserve">0,7 km </t>
  </si>
  <si>
    <t>Frontino</t>
  </si>
  <si>
    <t>Frontino - Nutibara: L=25 km</t>
  </si>
  <si>
    <t xml:space="preserve">Frontino - Nutibara: L=25 </t>
  </si>
  <si>
    <t>25AS111B2676</t>
  </si>
  <si>
    <t>25AS111B2814</t>
  </si>
  <si>
    <t>Placa huella JAC Vereda Cabras</t>
  </si>
  <si>
    <t>Termiando</t>
  </si>
  <si>
    <t>Giraldo</t>
  </si>
  <si>
    <t>25AS111B2681</t>
  </si>
  <si>
    <t>Conexión Giraldo</t>
  </si>
  <si>
    <t>Placa huella en la vía terciaria Águila- Roblar</t>
  </si>
  <si>
    <t xml:space="preserve">0,95 km </t>
  </si>
  <si>
    <t>Girardota</t>
  </si>
  <si>
    <t>Construcción de pavimento rígido tipo placa huella y obras complementarias en la vía de conexión rural Mercedes Ábrego - La Palma y en el sector El Cedro de la vereda San Andrés</t>
  </si>
  <si>
    <t xml:space="preserve">2,45 km </t>
  </si>
  <si>
    <r>
      <t xml:space="preserve">Información tomada de Gesproy. 
</t>
    </r>
    <r>
      <rPr>
        <b/>
        <sz val="11"/>
        <color theme="1"/>
        <rFont val="Poppins"/>
      </rPr>
      <t xml:space="preserve">Proyecto que se inició en la administración anterior </t>
    </r>
  </si>
  <si>
    <t xml:space="preserve">Girardota </t>
  </si>
  <si>
    <t>25AS111B2158</t>
  </si>
  <si>
    <t xml:space="preserve">0,53 km </t>
  </si>
  <si>
    <t>Gómez Plata</t>
  </si>
  <si>
    <t>24AS111B2043</t>
  </si>
  <si>
    <t xml:space="preserve">1,809 km </t>
  </si>
  <si>
    <t>Granada</t>
  </si>
  <si>
    <t>La Quiebra -
Santa Ana: L=5,33 km</t>
  </si>
  <si>
    <t xml:space="preserve">La Quiebra -
Santa Ana: L=5,33 </t>
  </si>
  <si>
    <t>Placa Huella Vereda Quebradona</t>
  </si>
  <si>
    <t>1,63 km</t>
  </si>
  <si>
    <t>24AS111B2011</t>
  </si>
  <si>
    <t>0,5 km</t>
  </si>
  <si>
    <t>El Guayabo - El Salto -
 Partidas a Guadalupe:
 L=10,61 km</t>
  </si>
  <si>
    <t xml:space="preserve">El Guayabo - El Salto -
 Partidas a Guadalupe:
 L=10,61 </t>
  </si>
  <si>
    <t>Guadalupe</t>
  </si>
  <si>
    <t xml:space="preserve">1,866 km </t>
  </si>
  <si>
    <t>Guarne</t>
  </si>
  <si>
    <t xml:space="preserve">Estudios y diseños </t>
  </si>
  <si>
    <t>Autorización estudios y diseños en la Vía Guarne- Yolombal- San Vicente</t>
  </si>
  <si>
    <t>25AS111B2800</t>
  </si>
  <si>
    <t>Placa huella JAC Vereda  Bella Vista</t>
  </si>
  <si>
    <t xml:space="preserve">0,12km </t>
  </si>
  <si>
    <t>25AS111B2799</t>
  </si>
  <si>
    <t>Placa huella JAC Vereda Los Labriegos</t>
  </si>
  <si>
    <t xml:space="preserve">Guarne- Yolombal: L= 5 km </t>
  </si>
  <si>
    <t xml:space="preserve">Guarne- Yolombal: L= 5  </t>
  </si>
  <si>
    <t xml:space="preserve">Actividades preliminares 
Topografía, Exploración geotécnica,y Limpieza de obras transversales </t>
  </si>
  <si>
    <t>24AS111B1726</t>
  </si>
  <si>
    <t>Guatapé</t>
  </si>
  <si>
    <t>25AS111B2796</t>
  </si>
  <si>
    <t>Placa huella JAC Vereda El Rosario</t>
  </si>
  <si>
    <t>25AS111B2815</t>
  </si>
  <si>
    <t>Placa huella JAC Quebrada Arriba</t>
  </si>
  <si>
    <t>Pavimentación de la vía Guatapé- La Piedra</t>
  </si>
  <si>
    <t xml:space="preserve">0,47 km </t>
  </si>
  <si>
    <t>Placa huella en la Vía Guatapé- Granada</t>
  </si>
  <si>
    <t xml:space="preserve">1.7 km </t>
  </si>
  <si>
    <t xml:space="preserve">1.7  </t>
  </si>
  <si>
    <t>Heliconia</t>
  </si>
  <si>
    <t>Ebéjico - Heliconia -
 Medellin: L= 28,76 km</t>
  </si>
  <si>
    <t xml:space="preserve">Ebéjico - Heliconia -
 Medellin: L= 28,76 </t>
  </si>
  <si>
    <t>Puento de atención prioritario</t>
  </si>
  <si>
    <t xml:space="preserve">Muro de contención y obras de drenaje en la Quebrada La Sucia </t>
  </si>
  <si>
    <t xml:space="preserve">Aprobado </t>
  </si>
  <si>
    <t>Mejoramiento mediante enrocado  Heliconia</t>
  </si>
  <si>
    <t>%</t>
  </si>
  <si>
    <t>25AS111B2787</t>
  </si>
  <si>
    <t>Placa Huella JAC Vereda Los Botes</t>
  </si>
  <si>
    <t>Plca huella en la vía que conduce desde el corregimiento Alto del Corral hasta el casco Urbano</t>
  </si>
  <si>
    <t>24AS111B2027</t>
  </si>
  <si>
    <t>Hispania</t>
  </si>
  <si>
    <t>25AS111B2769</t>
  </si>
  <si>
    <t xml:space="preserve">Placa huella- Vía San Joaquín </t>
  </si>
  <si>
    <t>Placa huella en la vía San Joaquín Vereda La Palmira</t>
  </si>
  <si>
    <t>Itagüí</t>
  </si>
  <si>
    <t>Ituango</t>
  </si>
  <si>
    <t xml:space="preserve">Puntos de Atención Prioritaria </t>
  </si>
  <si>
    <t>Punto de atención prioritaria PR 76+300 vía Medellín Ituango (SC 3), Punto de atención prioritaria PR 82+000 vía Medellín Ituango (SC 2), Punto de atención prioritaria PR 73+800 vía Medellín Ituango (SC 4)</t>
  </si>
  <si>
    <r>
      <t xml:space="preserve">Adjudicado 
</t>
    </r>
    <r>
      <rPr>
        <b/>
        <sz val="11"/>
        <color theme="1"/>
        <rFont val="Poppins"/>
      </rPr>
      <t xml:space="preserve">ESTE PROYECTO ESTÁ EN UN MISMO PAQUETE CON EL P.A.P Carolina del príncipe </t>
    </r>
  </si>
  <si>
    <t>Jardín</t>
  </si>
  <si>
    <t>26OO111B2810</t>
  </si>
  <si>
    <t>Mejoramiento y construcción obras complementarias sobre corredor Jardín - Riosucio</t>
  </si>
  <si>
    <t>5,8 km</t>
  </si>
  <si>
    <t>Licitación publicada</t>
  </si>
  <si>
    <t>Construcción puente metálico La Mesenia:</t>
  </si>
  <si>
    <t xml:space="preserve">  L= 14 x 3.5m</t>
  </si>
  <si>
    <t>Pendiente consultor</t>
  </si>
  <si>
    <t xml:space="preserve">Construcción puente vehicular </t>
  </si>
  <si>
    <t xml:space="preserve"> L= 25 m </t>
  </si>
  <si>
    <t>Pendiente aprobación Planeación departamental</t>
  </si>
  <si>
    <t>Pavimentación de las vías urbanas
 ( Etapa 1)</t>
  </si>
  <si>
    <t xml:space="preserve">1,26 km </t>
  </si>
  <si>
    <t xml:space="preserve">Asignación directa </t>
  </si>
  <si>
    <t xml:space="preserve">Jardín </t>
  </si>
  <si>
    <t>Estudios y diseños para la implementación del cable aéreo entre Jardín y Jericó</t>
  </si>
  <si>
    <t xml:space="preserve">Estudios a detalla para modernización de sistemas de transporte por cable áereo </t>
  </si>
  <si>
    <t>Jericó</t>
  </si>
  <si>
    <t xml:space="preserve"> Mejoramiento vías rurales Jericó</t>
  </si>
  <si>
    <t xml:space="preserve">0,132 km </t>
  </si>
  <si>
    <t>Placa huella en la vía terciaria que comunica a la vereda La Pista</t>
  </si>
  <si>
    <t xml:space="preserve">1,65 km </t>
  </si>
  <si>
    <t xml:space="preserve">Estudios a detalle para modernización de sistemas de transporte por cable áereo </t>
  </si>
  <si>
    <t>Pavimentación vías urbanas</t>
  </si>
  <si>
    <t xml:space="preserve">67,10 km </t>
  </si>
  <si>
    <t>La Ceja</t>
  </si>
  <si>
    <t xml:space="preserve"> 25IA111B2170</t>
  </si>
  <si>
    <t>Ejecución de estudios y diseños del proyecto vial APP La Ceja- La Pintada (conexión Oriente-Sur)</t>
  </si>
  <si>
    <t xml:space="preserve">48,6 km </t>
  </si>
  <si>
    <t xml:space="preserve">Contrato de mandato </t>
  </si>
  <si>
    <t>25IA111B2394</t>
  </si>
  <si>
    <t>Mejoramiento mediante enrocado La Ceja</t>
  </si>
  <si>
    <t>Pendiente firma minuta</t>
  </si>
  <si>
    <t>5,689 m2</t>
  </si>
  <si>
    <t>La Estrella</t>
  </si>
  <si>
    <t>La Pintada</t>
  </si>
  <si>
    <t xml:space="preserve">Traslado Locomotora </t>
  </si>
  <si>
    <t>1 und</t>
  </si>
  <si>
    <t xml:space="preserve">0,37 km </t>
  </si>
  <si>
    <t>La Unión</t>
  </si>
  <si>
    <t xml:space="preserve">Placa Huella </t>
  </si>
  <si>
    <t xml:space="preserve">En revisión por parte de la dirección de estructuración </t>
  </si>
  <si>
    <t xml:space="preserve">Abejorral- La Frontera: L=25,49 km </t>
  </si>
  <si>
    <t xml:space="preserve">Abejorral- La Frontera: L=25,49  </t>
  </si>
  <si>
    <t>25AS111B2779</t>
  </si>
  <si>
    <t>Placa huella JAC Vereda Buenavista</t>
  </si>
  <si>
    <t>25AS111B2664</t>
  </si>
  <si>
    <t xml:space="preserve">17,30 km </t>
  </si>
  <si>
    <t>24AS111B2008</t>
  </si>
  <si>
    <t>Liborina</t>
  </si>
  <si>
    <t>23OO111B1477</t>
  </si>
  <si>
    <r>
      <t xml:space="preserve">Mejoramiento y mantenimiento de las vías del </t>
    </r>
    <r>
      <rPr>
        <b/>
        <sz val="11"/>
        <color rgb="FF000000"/>
        <rFont val="Poppins"/>
      </rPr>
      <t>GRUPO 1</t>
    </r>
    <r>
      <rPr>
        <sz val="11"/>
        <color rgb="FF000000"/>
        <rFont val="Poppins"/>
      </rPr>
      <t xml:space="preserve"> de Circuitos Estratégicos del Departamento de Antioquia. </t>
    </r>
    <r>
      <rPr>
        <b/>
        <sz val="11"/>
        <color rgb="FF000000"/>
        <rFont val="Poppins"/>
      </rPr>
      <t>LOTE 1</t>
    </r>
    <r>
      <rPr>
        <sz val="11"/>
        <color rgb="FF000000"/>
        <rFont val="Poppins"/>
      </rPr>
      <t>: Suroeste, Occidente y Urabá</t>
    </r>
  </si>
  <si>
    <t xml:space="preserve"> Liborina - Partidas San Jose de la Montaña: L=2,00 km</t>
  </si>
  <si>
    <t>25OO111B2446</t>
  </si>
  <si>
    <t>Mejoramiento y construcción obras complementarias sobre corredor Liborina - Sabanalarga</t>
  </si>
  <si>
    <t xml:space="preserve">12,8 km </t>
  </si>
  <si>
    <t xml:space="preserve">En ejecución  </t>
  </si>
  <si>
    <t>Olaya</t>
  </si>
  <si>
    <t>Rehabilitación Puente de Occidente</t>
  </si>
  <si>
    <t xml:space="preserve">Puente El Beso </t>
  </si>
  <si>
    <t xml:space="preserve">114 m </t>
  </si>
  <si>
    <r>
      <t xml:space="preserve">En gestión contractual por parte de RENTAN
</t>
    </r>
    <r>
      <rPr>
        <b/>
        <sz val="11"/>
        <color theme="1"/>
        <rFont val="Poppins"/>
      </rPr>
      <t>Contratación 24-02-2026
( Desmonte, reparación y bodegaje)</t>
    </r>
  </si>
  <si>
    <t xml:space="preserve">48,30 km </t>
  </si>
  <si>
    <t>Maceo</t>
  </si>
  <si>
    <t xml:space="preserve">Construcción puente metálico </t>
  </si>
  <si>
    <t>Puente alicante</t>
  </si>
  <si>
    <t>Puentes</t>
  </si>
  <si>
    <t>Por definir</t>
  </si>
  <si>
    <t xml:space="preserve">Por definir </t>
  </si>
  <si>
    <t>24AS111B2021</t>
  </si>
  <si>
    <t>25AS111B2378</t>
  </si>
  <si>
    <t>25AS111B2673</t>
  </si>
  <si>
    <t>Placa huella- Vía San Ignacio/ Santa Bárbara</t>
  </si>
  <si>
    <t>Marinilla</t>
  </si>
  <si>
    <t xml:space="preserve">2000 m2 </t>
  </si>
  <si>
    <t>Placa Huella Vías Rurales</t>
  </si>
  <si>
    <t>25AS111B2634</t>
  </si>
  <si>
    <t>24AS111B1727</t>
  </si>
  <si>
    <t>25AS111B2774</t>
  </si>
  <si>
    <t>Placa huella JAC Vereda Gaviria</t>
  </si>
  <si>
    <t xml:space="preserve">Marinilla </t>
  </si>
  <si>
    <t>24AS111B2056</t>
  </si>
  <si>
    <t>Medellín</t>
  </si>
  <si>
    <t xml:space="preserve">Casa Silletera </t>
  </si>
  <si>
    <t>800 m2</t>
  </si>
  <si>
    <t>Montebello</t>
  </si>
  <si>
    <t xml:space="preserve">40,3 km </t>
  </si>
  <si>
    <t xml:space="preserve">Placa huella Veredas La Camelia y El Tablazo </t>
  </si>
  <si>
    <t>24AS111B2022</t>
  </si>
  <si>
    <t>Murindó</t>
  </si>
  <si>
    <t xml:space="preserve">Bicimotorruta </t>
  </si>
  <si>
    <t xml:space="preserve">3 km </t>
  </si>
  <si>
    <t>Mutatá</t>
  </si>
  <si>
    <t xml:space="preserve">Mutatá - Pavarandó: L=10 km </t>
  </si>
  <si>
    <t xml:space="preserve">Mutatá - Pavarandó: L=10  </t>
  </si>
  <si>
    <t>24AS111B1786</t>
  </si>
  <si>
    <t>Nariño</t>
  </si>
  <si>
    <t>24AS111B1729</t>
  </si>
  <si>
    <t>25AS111B2350</t>
  </si>
  <si>
    <t xml:space="preserve">0,17 km </t>
  </si>
  <si>
    <t>25AS111B2790</t>
  </si>
  <si>
    <t xml:space="preserve">Placa huella JAC Vereda El Limón </t>
  </si>
  <si>
    <t>25AS111B2803</t>
  </si>
  <si>
    <t>Placa Huella  JAC Vereda El Roble</t>
  </si>
  <si>
    <t>25AS111B2689</t>
  </si>
  <si>
    <t xml:space="preserve">0,42 km </t>
  </si>
  <si>
    <t xml:space="preserve">Mejoramiento de la vía Nariño- Puente Linda- Tramo 1 </t>
  </si>
  <si>
    <t>Licitación Publica</t>
  </si>
  <si>
    <t xml:space="preserve">Terminado 2024 </t>
  </si>
  <si>
    <t xml:space="preserve">50,55 km </t>
  </si>
  <si>
    <t>Placa huella Veredas El Llano y El Recreo</t>
  </si>
  <si>
    <t>Nechí</t>
  </si>
  <si>
    <t>25MA111B2715</t>
  </si>
  <si>
    <t xml:space="preserve">Colorado- Nechí: L= 6,3 km </t>
  </si>
  <si>
    <t xml:space="preserve">Recursos propios </t>
  </si>
  <si>
    <t xml:space="preserve">El valor total corresponde al valor de todo el convenio de estudios y diseños de los corredores viales </t>
  </si>
  <si>
    <t>Mejoramiento de la vía campo alegre 
(ruta 25-Caucasia) - Nechí ETAPA 2</t>
  </si>
  <si>
    <t xml:space="preserve">5,4 km </t>
  </si>
  <si>
    <t>Se está a la espera de la firma oficial del contrato de interventoría para posteriormente proceder a la designación del supervisor por parte de INVIAS y después convocar la sesión de inicio para finalmente firmar la respectiva acta de inicio.</t>
  </si>
  <si>
    <t>Mejoramiento de la vía campo alegre
 (ruta 25-Caucasia) - Nechí</t>
  </si>
  <si>
    <t>24AS111B2014</t>
  </si>
  <si>
    <t>Pavimento Rígido  en la vía Nechi- Santa Anita</t>
  </si>
  <si>
    <t>Necoclí</t>
  </si>
  <si>
    <t>San Pedro de Urabá -
 Necoclí: L= 58,65 km</t>
  </si>
  <si>
    <t xml:space="preserve">San Pedro de Urabá -
 Necoclí: L= 58,65 </t>
  </si>
  <si>
    <t>En ejecución actividades de topografía y ensayos de laboratorio</t>
  </si>
  <si>
    <t>25AS111B2816</t>
  </si>
  <si>
    <t>Placa huella JAC Vereda Multatico Palestina</t>
  </si>
  <si>
    <t>24AS111B1770</t>
  </si>
  <si>
    <t>Terminado al 99%</t>
  </si>
  <si>
    <t>25AS111B2655</t>
  </si>
  <si>
    <t>24AS111B1732</t>
  </si>
  <si>
    <t xml:space="preserve">Peque </t>
  </si>
  <si>
    <t xml:space="preserve"> </t>
  </si>
  <si>
    <t>Mejoramiento de la vía sobre el corredor vial Uramita- Peque ETAPA 4</t>
  </si>
  <si>
    <t xml:space="preserve">9,323 km </t>
  </si>
  <si>
    <t>Peque</t>
  </si>
  <si>
    <t>25AS111B2680</t>
  </si>
  <si>
    <t>Pueblorrico</t>
  </si>
  <si>
    <t>Mejoramiento en pavimento rígido de la vía que conduce desde el casco urbano hacia la vereda del Sinaí.</t>
  </si>
  <si>
    <t xml:space="preserve">1,37 km </t>
  </si>
  <si>
    <t xml:space="preserve">27,9 km </t>
  </si>
  <si>
    <t>Andes - San José - 
Pueblorrico: L=22,39 km</t>
  </si>
  <si>
    <t xml:space="preserve">Andes - San José - 
Pueblorrico: L=22,39 </t>
  </si>
  <si>
    <t xml:space="preserve">0,948 km </t>
  </si>
  <si>
    <t>Puerto Berrío</t>
  </si>
  <si>
    <t>25OO111B2823</t>
  </si>
  <si>
    <t>Remedios - La Y De La Virgen - Puerto Berrío: L=25</t>
  </si>
  <si>
    <t>Puerto Nare</t>
  </si>
  <si>
    <r>
      <t xml:space="preserve">Estudios y diseños de los corredores
 Santiago Berrio- Mulas- Cruces- Puerto Nare- Puerto Triunfo
</t>
    </r>
    <r>
      <rPr>
        <b/>
        <sz val="11"/>
        <color rgb="FF000000"/>
        <rFont val="Poppins"/>
      </rPr>
      <t>(Obra e interventoría )</t>
    </r>
  </si>
  <si>
    <t xml:space="preserve">13,3 km </t>
  </si>
  <si>
    <t>Concurso de méritos</t>
  </si>
  <si>
    <t>Puerto Triunfo</t>
  </si>
  <si>
    <t>Pav. Mulas- Puerto Nare</t>
  </si>
  <si>
    <t xml:space="preserve">31,12 km </t>
  </si>
  <si>
    <t xml:space="preserve">Recursos Propios + Valorización </t>
  </si>
  <si>
    <t>24AS111B2030</t>
  </si>
  <si>
    <t>25AS111B2674</t>
  </si>
  <si>
    <t>Remedios</t>
  </si>
  <si>
    <t xml:space="preserve">13,21 km </t>
  </si>
  <si>
    <t xml:space="preserve">Remedios- La Ye: L= 6 km </t>
  </si>
  <si>
    <t xml:space="preserve">Mejoramiento de la vía rural que comunica los municipios de Segovia y Remedios </t>
  </si>
  <si>
    <t xml:space="preserve">7,57 km </t>
  </si>
  <si>
    <t xml:space="preserve">Remedios - La Y De La Virgen - Puerto Berrío: L =25 km </t>
  </si>
  <si>
    <t>Rionegro</t>
  </si>
  <si>
    <t xml:space="preserve">Intercambio Palmas </t>
  </si>
  <si>
    <t>Concesión Aburrá Oriente</t>
  </si>
  <si>
    <t xml:space="preserve"> Pendiente revisión presupuestal con DEVIMED. Posible inicio en septiembre.</t>
  </si>
  <si>
    <t>Intercambio Aeropuerto</t>
  </si>
  <si>
    <t>Puente Biblioteca</t>
  </si>
  <si>
    <t xml:space="preserve">2355 m </t>
  </si>
  <si>
    <t>Parque Paisajes del Agua</t>
  </si>
  <si>
    <t xml:space="preserve">Llanogrande-La Ceja </t>
  </si>
  <si>
    <t>Belén-Aeropuerto</t>
  </si>
  <si>
    <t xml:space="preserve">6,3 km </t>
  </si>
  <si>
    <t>Puente sobre la avenida de los Estudiantes</t>
  </si>
  <si>
    <t xml:space="preserve">30,32m </t>
  </si>
  <si>
    <t xml:space="preserve">Segundo Túnel de Oriente </t>
  </si>
  <si>
    <t xml:space="preserve">14,9 km </t>
  </si>
  <si>
    <t xml:space="preserve">2,65 km  </t>
  </si>
  <si>
    <t>25AS111B2349</t>
  </si>
  <si>
    <t xml:space="preserve">1,681 km </t>
  </si>
  <si>
    <t>Sabanalarga</t>
  </si>
  <si>
    <t>Licitación adjudicada</t>
  </si>
  <si>
    <t>Sabaneta</t>
  </si>
  <si>
    <t>Salgar</t>
  </si>
  <si>
    <t>La Trilladora</t>
  </si>
  <si>
    <t>Salgar - La Quiebra - 
Concordia:  L=15,93 km</t>
  </si>
  <si>
    <t xml:space="preserve">Salgar - La Quiebra - 
Concordia:  L=15,93 </t>
  </si>
  <si>
    <t>Salgar - La Cámara - La Quiebra: L=1 km</t>
  </si>
  <si>
    <t xml:space="preserve">Salgar - La Cámara - La Quiebra: L=1 </t>
  </si>
  <si>
    <t>24AS111B2063</t>
  </si>
  <si>
    <t xml:space="preserve">1,055 km </t>
  </si>
  <si>
    <t>San Andrés de Cuerquia</t>
  </si>
  <si>
    <t>Mejoramiento vías San Andrés de Cuerquia e Ituango</t>
  </si>
  <si>
    <t>24AS111B2226</t>
  </si>
  <si>
    <t>San Carlos</t>
  </si>
  <si>
    <t>24AS111B2041</t>
  </si>
  <si>
    <t>25AS111B2662</t>
  </si>
  <si>
    <t>Puente Vehicular Quebrada Chorrofrio</t>
  </si>
  <si>
    <t xml:space="preserve">15 m </t>
  </si>
  <si>
    <t xml:space="preserve">97,70 km </t>
  </si>
  <si>
    <r>
      <t xml:space="preserve">Mejoramiento y mantenimiento de las vías del </t>
    </r>
    <r>
      <rPr>
        <b/>
        <sz val="11"/>
        <color theme="1"/>
        <rFont val="Poppins"/>
      </rPr>
      <t xml:space="preserve">Grupo 1  </t>
    </r>
    <r>
      <rPr>
        <sz val="11"/>
        <color theme="1"/>
        <rFont val="Poppins"/>
      </rPr>
      <t xml:space="preserve">de circuitos estrategicos. </t>
    </r>
    <r>
      <rPr>
        <b/>
        <sz val="11"/>
        <color theme="1"/>
        <rFont val="Poppins"/>
      </rPr>
      <t xml:space="preserve">LOTE 3: ORIENTE  </t>
    </r>
  </si>
  <si>
    <t>Cruces- Narices: L= 0,995 km</t>
  </si>
  <si>
    <t xml:space="preserve">Cruces- Narices: L= 0,995 </t>
  </si>
  <si>
    <t xml:space="preserve">Rehabilitación de la Vía Narices - Juanes – El Jordán - La Holanda Etapa 2 </t>
  </si>
  <si>
    <t xml:space="preserve">6,1 km </t>
  </si>
  <si>
    <t xml:space="preserve">Proyecto aprobado </t>
  </si>
  <si>
    <t>San Francisco</t>
  </si>
  <si>
    <t xml:space="preserve">Placa Huella Vereda San Isidro- Vereda Boqueron </t>
  </si>
  <si>
    <t xml:space="preserve">RVS </t>
  </si>
  <si>
    <t xml:space="preserve">37,37 km </t>
  </si>
  <si>
    <t>24AS111B1737</t>
  </si>
  <si>
    <t>San Jerónimo</t>
  </si>
  <si>
    <t xml:space="preserve">San Jerónimo -
 San Pedro de Los Milagros: L=3.5 km </t>
  </si>
  <si>
    <t xml:space="preserve">San Jerónimo -
 San Pedro de Los Milagros: L=3.5  </t>
  </si>
  <si>
    <t>Vía San Jerónimo - Poleal - San Pedro de Los Milagros: L=3,158 Km</t>
  </si>
  <si>
    <t xml:space="preserve">Vía San Jerónimo - Poleal - San Pedro de Los Milagros: L=3,158 </t>
  </si>
  <si>
    <t>25AS111B2618</t>
  </si>
  <si>
    <t>San Jerónimo - Poleal - San Pedro de Los Milagros: L=15,838</t>
  </si>
  <si>
    <t>Puente vehicular Las Margaritas</t>
  </si>
  <si>
    <t xml:space="preserve"> 24AS111B2032</t>
  </si>
  <si>
    <t>San José de la Montaña</t>
  </si>
  <si>
    <r>
      <t xml:space="preserve">Mejoramiento de las vías del </t>
    </r>
    <r>
      <rPr>
        <b/>
        <sz val="11"/>
        <color rgb="FF000000"/>
        <rFont val="Poppins"/>
      </rPr>
      <t>GRUPO 2</t>
    </r>
    <r>
      <rPr>
        <sz val="11"/>
        <color rgb="FF000000"/>
        <rFont val="Poppins"/>
      </rPr>
      <t xml:space="preserve"> de Circuitos Estratégicos del Departamento de Antioquia
</t>
    </r>
  </si>
  <si>
    <t>Construcción de Puente</t>
  </si>
  <si>
    <t>Puente urbano vehicular carrera 23</t>
  </si>
  <si>
    <t xml:space="preserve">$2.104.630.655
</t>
  </si>
  <si>
    <t>Entrerríos - Labores - 
San José de la Montaña:
L= 39,95 km</t>
  </si>
  <si>
    <t xml:space="preserve">Entrerríos - Labores - 
San José de la Montaña:
L= 39,95 </t>
  </si>
  <si>
    <t>24AS111B2054</t>
  </si>
  <si>
    <t xml:space="preserve">0,28 km </t>
  </si>
  <si>
    <t>Placa huella-Vereda El Proterito</t>
  </si>
  <si>
    <t xml:space="preserve">0,775 km </t>
  </si>
  <si>
    <t>San Juan de Urabá</t>
  </si>
  <si>
    <t xml:space="preserve">Placa Huella Vereda Belén </t>
  </si>
  <si>
    <t>24AS111B2062</t>
  </si>
  <si>
    <t xml:space="preserve">0,7 m </t>
  </si>
  <si>
    <t>San Luis</t>
  </si>
  <si>
    <t>24AS111B2035</t>
  </si>
  <si>
    <t xml:space="preserve">21,40 km </t>
  </si>
  <si>
    <t>San Pedro de los Milagros</t>
  </si>
  <si>
    <t>San Jerónimo -
 San Pedro de Los Milagros: L=3.5 km</t>
  </si>
  <si>
    <t xml:space="preserve">San Jerónimo -
 San Pedro de Los Milagros: L=3.5 </t>
  </si>
  <si>
    <t>San Jerónimo- Poleal- San Pedro de los Milagros: L=15,838</t>
  </si>
  <si>
    <t>24AS111B1739</t>
  </si>
  <si>
    <t xml:space="preserve">3,165 km </t>
  </si>
  <si>
    <t>San Pedro de Urabá</t>
  </si>
  <si>
    <r>
      <t xml:space="preserve">Mejoramiento y mantenimiento de las vías del </t>
    </r>
    <r>
      <rPr>
        <b/>
        <sz val="11"/>
        <color theme="1"/>
        <rFont val="Poppins"/>
      </rPr>
      <t>GRUPO 1</t>
    </r>
    <r>
      <rPr>
        <sz val="11"/>
        <color theme="1"/>
        <rFont val="Poppins"/>
      </rPr>
      <t xml:space="preserve"> de Circuitos Estratégicos del Departamento de Antioquia. </t>
    </r>
    <r>
      <rPr>
        <b/>
        <sz val="11"/>
        <color theme="1"/>
        <rFont val="Poppins"/>
      </rPr>
      <t>LOTE 1</t>
    </r>
    <r>
      <rPr>
        <sz val="11"/>
        <color theme="1"/>
        <rFont val="Poppins"/>
      </rPr>
      <t>: Suroeste, Occidente y Urabá</t>
    </r>
  </si>
  <si>
    <t>San Pedro de Urabá - El Carmelo - El Tambito:  L= 1 km</t>
  </si>
  <si>
    <t xml:space="preserve">San Pedro de Urabá - El Carmelo - El Tambito:  L= 1 </t>
  </si>
  <si>
    <t xml:space="preserve">San Pedro - El Tres - 
Turbo: L=22 km </t>
  </si>
  <si>
    <t xml:space="preserve">San Pedro - El Tres - 
Turbo: L=22  </t>
  </si>
  <si>
    <t>San Pedro de Urabá -
 Arboletes: L=30 km</t>
  </si>
  <si>
    <t xml:space="preserve">San Pedro de Urabá -
 Arboletes: L=30 </t>
  </si>
  <si>
    <t>San Pedro de Urabá -
Necoclí: L=58,65 km</t>
  </si>
  <si>
    <t xml:space="preserve">San Pedro de Urabá -
Necoclí: L=58,65 </t>
  </si>
  <si>
    <t>Convocatoria OCAD - PAZ / 2025-1 (Taraza, Yondó, San Pedro de Urabá)</t>
  </si>
  <si>
    <t>Mejoramiento de la vía y construcción de puente en el corredor San Pedro de Urabá - El Carmelo - El Tambito</t>
  </si>
  <si>
    <t>OCAD-PAZ</t>
  </si>
  <si>
    <t>En espera de revisión por parte del Ministerio de Transporte</t>
  </si>
  <si>
    <t>Puente vehicular (Camarón) en la vereda El Jordán</t>
  </si>
  <si>
    <t>Puente vehicular en la vereda El Pirú</t>
  </si>
  <si>
    <t xml:space="preserve">En revisión y estructuración 
</t>
  </si>
  <si>
    <t>Construcción muro contención El Tres - San Pedro</t>
  </si>
  <si>
    <t>En revisión de comités de contratación</t>
  </si>
  <si>
    <t>25AS111B2768</t>
  </si>
  <si>
    <t>Placa huella - Vía Santa Catalina- Villanueva</t>
  </si>
  <si>
    <t>24AS111B1730</t>
  </si>
  <si>
    <t xml:space="preserve">Placa Huella- Vía Apartada del Ají- El Ají </t>
  </si>
  <si>
    <t xml:space="preserve">32,50  km </t>
  </si>
  <si>
    <t>Terminado 2020</t>
  </si>
  <si>
    <t>24AS111B2061</t>
  </si>
  <si>
    <t>Placa Huella- Vía Morroa-Zapindonga</t>
  </si>
  <si>
    <t xml:space="preserve">San Rafael </t>
  </si>
  <si>
    <t>San Rafael</t>
  </si>
  <si>
    <t>Rehabilitación de la Vía El Peñol - Guatapé - El Bizcocho - San Rafael (no incluye tramo urbano de Guatapé) código 60AN15-2, Etapa 1, en el municipio de San Rafael, Antioquia</t>
  </si>
  <si>
    <t xml:space="preserve">1,41 km </t>
  </si>
  <si>
    <t>24AS111B1725</t>
  </si>
  <si>
    <t xml:space="preserve">54,4 km </t>
  </si>
  <si>
    <t>25AS111B2792</t>
  </si>
  <si>
    <t>Placa huella JAC</t>
  </si>
  <si>
    <t>Puente El Infante</t>
  </si>
  <si>
    <t>24AS111B2040</t>
  </si>
  <si>
    <t>San Roque</t>
  </si>
  <si>
    <t>San Roque Cristales (62AN25): L=1 km</t>
  </si>
  <si>
    <t>Caramanta -Cristales 
San Roque: L= 21,33 km</t>
  </si>
  <si>
    <t xml:space="preserve">Actividades preliminares </t>
  </si>
  <si>
    <t>San Rafael - San Roque  
Santo Domingo - 
Alejandría: L=25,72 km</t>
  </si>
  <si>
    <t>24AS111B1734</t>
  </si>
  <si>
    <t xml:space="preserve">San Roque- San Rafael: L= 6 km </t>
  </si>
  <si>
    <t>25AS111B2809</t>
  </si>
  <si>
    <t>Placa huella JAC Guacas Bellavista</t>
  </si>
  <si>
    <t>24AS111B2024</t>
  </si>
  <si>
    <t>San Vicente</t>
  </si>
  <si>
    <t>San Vicente -
 El Peñol: L=18,15 km</t>
  </si>
  <si>
    <t xml:space="preserve">Plaza de mercado </t>
  </si>
  <si>
    <t>25AS111B2770</t>
  </si>
  <si>
    <t>25AS111B2802</t>
  </si>
  <si>
    <t>Placa huella JAC Vereda LA Compañia San Antonio</t>
  </si>
  <si>
    <t>24AS111B2045</t>
  </si>
  <si>
    <t>Santa Bárbara</t>
  </si>
  <si>
    <t xml:space="preserve">Santa Bárbara- Abejorral: L=2,4 km </t>
  </si>
  <si>
    <t xml:space="preserve">Santa Bárbara- Abejorral: L=2,4  </t>
  </si>
  <si>
    <t>24AS111B2033</t>
  </si>
  <si>
    <t>Santa Fe de Antioquia</t>
  </si>
  <si>
    <t>Construcción Puentes y PAP</t>
  </si>
  <si>
    <t>Puente vehicular Churimbo</t>
  </si>
  <si>
    <t>25AS111B2619</t>
  </si>
  <si>
    <t xml:space="preserve"> 24AS111B2034</t>
  </si>
  <si>
    <t>Santa Rosa de Osos</t>
  </si>
  <si>
    <t>Santa Rosa - 
Carolina del Príncipe :  L= 33,67 km</t>
  </si>
  <si>
    <t xml:space="preserve">Santa Rosa - 
Carolina del Príncipe :  L= 33,67 </t>
  </si>
  <si>
    <t xml:space="preserve">Puente Gavino- Santa Rosa de Osos: L=48,875 km </t>
  </si>
  <si>
    <t>Construcción puente</t>
  </si>
  <si>
    <t xml:space="preserve">Puente gavimo L= 130 m </t>
  </si>
  <si>
    <r>
      <t xml:space="preserve">Pendiente aprobación Planeación departamental
</t>
    </r>
    <r>
      <rPr>
        <b/>
        <sz val="11"/>
        <color theme="1"/>
        <rFont val="Poppins"/>
      </rPr>
      <t xml:space="preserve">EN LOS MUNICIPIOS DE YOLOMBÓ Y SANTA ROSA DE OSOS </t>
    </r>
  </si>
  <si>
    <t>Santo Domingo</t>
  </si>
  <si>
    <t>San Rafael -San Roque  
Santo Domingo -
Alejandría: L=25,72 km</t>
  </si>
  <si>
    <t>Mejoramiento de la infraestructura de las vías en el departamento de Antioquia, Alto de La Quiebra - Cruce Santo Domingo</t>
  </si>
  <si>
    <t xml:space="preserve">9,05 km </t>
  </si>
  <si>
    <t>25AS111B2797</t>
  </si>
  <si>
    <t>Placa huella JAC La Esperanza</t>
  </si>
  <si>
    <t>25AS111B2777</t>
  </si>
  <si>
    <t>Placa huella JAC Vereda Guadualejo</t>
  </si>
  <si>
    <t xml:space="preserve">RVT </t>
  </si>
  <si>
    <t>25AS111B2793</t>
  </si>
  <si>
    <t xml:space="preserve">Placa huella JAC El Combo </t>
  </si>
  <si>
    <t xml:space="preserve">Santo Domingo-Alejandría: L= 10 km </t>
  </si>
  <si>
    <t>Puente Quebrada San Pedro</t>
  </si>
  <si>
    <t xml:space="preserve">0,80 km </t>
  </si>
  <si>
    <t>Segovia</t>
  </si>
  <si>
    <t xml:space="preserve">5,59 km </t>
  </si>
  <si>
    <t xml:space="preserve">Sonsón </t>
  </si>
  <si>
    <t>Sonsón</t>
  </si>
  <si>
    <t>Sonsón - Aguadas
 (Puente San Rafael): L=19,22 km</t>
  </si>
  <si>
    <t xml:space="preserve">Sonsón - Aguadas
 (Puente San Rafael): L=19,22 </t>
  </si>
  <si>
    <t>24AS111B2037</t>
  </si>
  <si>
    <t>Pavimento Rígido Vía La Danta-San Miguel Sonsón</t>
  </si>
  <si>
    <t>Proyecto PAISA en Sonsón</t>
  </si>
  <si>
    <t xml:space="preserve">Puente Vehicular Vereda San Rafael </t>
  </si>
  <si>
    <t xml:space="preserve">25 m </t>
  </si>
  <si>
    <t>Puente Variante La Danta</t>
  </si>
  <si>
    <t xml:space="preserve">14 m </t>
  </si>
  <si>
    <t>25AS111B2126</t>
  </si>
  <si>
    <t>Sopetrán</t>
  </si>
  <si>
    <t xml:space="preserve">Puente El Sabanazo L: 75,78 m </t>
  </si>
  <si>
    <t>Mejoramiento del corredor vial Sopetrán-El Rodeo-Sabanazo</t>
  </si>
  <si>
    <t>25AS111B2620</t>
  </si>
  <si>
    <t xml:space="preserve">Sopetrán </t>
  </si>
  <si>
    <t xml:space="preserve">46,45 km </t>
  </si>
  <si>
    <t xml:space="preserve">Mejoramiento del corredor Sopetrán- Belmira </t>
  </si>
  <si>
    <t xml:space="preserve">Sopetrán - Horizontes- 
  Belmira: L= 33,59 km </t>
  </si>
  <si>
    <t xml:space="preserve">Sopetrán - Horizontes- 
  Belmira: L= 33,59  </t>
  </si>
  <si>
    <t xml:space="preserve">Támesis </t>
  </si>
  <si>
    <t>Lorena Maratón- Etapa 2</t>
  </si>
  <si>
    <t xml:space="preserve">6,29 km </t>
  </si>
  <si>
    <t>Támesis</t>
  </si>
  <si>
    <t>Valparaíso - Támesis: L=22,51 km</t>
  </si>
  <si>
    <t xml:space="preserve">$ 29.089.234.439
</t>
  </si>
  <si>
    <t xml:space="preserve">46,5 km </t>
  </si>
  <si>
    <t>Mejoramiento y construcción obras complementarias sobre corredor Lorena - Maratón</t>
  </si>
  <si>
    <t xml:space="preserve">6,87 km </t>
  </si>
  <si>
    <t>Por iniciar</t>
  </si>
  <si>
    <t xml:space="preserve">Proyecto PAISA en Támesis </t>
  </si>
  <si>
    <t>Placa huella Vereda El Encanto</t>
  </si>
  <si>
    <t>Placa huella Vereda La Alcena</t>
  </si>
  <si>
    <t>Tarazá</t>
  </si>
  <si>
    <t xml:space="preserve">Punto de atención prioritaria </t>
  </si>
  <si>
    <t>PAP Ecogan Tarazá ( Obras de contención y recuperación de orillas)</t>
  </si>
  <si>
    <t xml:space="preserve">Pendiente legalización contratista </t>
  </si>
  <si>
    <t>24AS111B1771</t>
  </si>
  <si>
    <t>Placa Huella en el Corregimiento El Guáimaro-Las Partidas Vía La Troncal – Vereda La Pipiola</t>
  </si>
  <si>
    <r>
      <rPr>
        <b/>
        <sz val="11"/>
        <color rgb="FFFF0000"/>
        <rFont val="Poppins"/>
      </rPr>
      <t>TERMINACIÓN ANTICIPADA</t>
    </r>
    <r>
      <rPr>
        <sz val="11"/>
        <color rgb="FFFF0000"/>
        <rFont val="Poppins"/>
      </rPr>
      <t xml:space="preserve">
Solo se realizó la primera entrega de materiales por problemas de orden público</t>
    </r>
  </si>
  <si>
    <t>Tarso</t>
  </si>
  <si>
    <t>Placa huella veredas Mulatico, Patio Bonito y Morrón, mediante la construcción</t>
  </si>
  <si>
    <t xml:space="preserve">1,7 km </t>
  </si>
  <si>
    <t xml:space="preserve">50,3 km </t>
  </si>
  <si>
    <t>Peñalisa-Tarso: L=17,15 km</t>
  </si>
  <si>
    <t>24AS111B2051</t>
  </si>
  <si>
    <t xml:space="preserve">0,6 km </t>
  </si>
  <si>
    <t>Titiribí</t>
  </si>
  <si>
    <t>Titiribí - Armenia: L=5 km</t>
  </si>
  <si>
    <t xml:space="preserve">Titiribí - Armenia: L=5 </t>
  </si>
  <si>
    <t xml:space="preserve">1,2 km </t>
  </si>
  <si>
    <t>Toledo</t>
  </si>
  <si>
    <t xml:space="preserve">Construcción Puentes </t>
  </si>
  <si>
    <t>Puente vehicular La Florida</t>
  </si>
  <si>
    <t>Alto del Cardal - Toledo: L=15 km</t>
  </si>
  <si>
    <t>25AS111B2651</t>
  </si>
  <si>
    <t xml:space="preserve">Placa huella Vereda Helechales </t>
  </si>
  <si>
    <t>24AS111B1731</t>
  </si>
  <si>
    <t>Turbo</t>
  </si>
  <si>
    <t xml:space="preserve">Riogrande-Nueva Colonia-Embarcadero-Zungo: L= 32,48 km </t>
  </si>
  <si>
    <t>25AS111B2786</t>
  </si>
  <si>
    <t>Placa huella JAC Corregimiento El Dos</t>
  </si>
  <si>
    <t>25AS111B2819</t>
  </si>
  <si>
    <t>Placa huella JAC Vereda Piedrecitas</t>
  </si>
  <si>
    <t xml:space="preserve">P.A.P San Pedo de Urabá El Tres </t>
  </si>
  <si>
    <t xml:space="preserve">Muro de contención y obras de drenaje </t>
  </si>
  <si>
    <t>25AS111B2817</t>
  </si>
  <si>
    <t>Placa huella JAC Corregimiento Mulatos</t>
  </si>
  <si>
    <t>Uramita</t>
  </si>
  <si>
    <t>25AS111B2801</t>
  </si>
  <si>
    <t xml:space="preserve">Placa huella ASOCOMUNAL </t>
  </si>
  <si>
    <t xml:space="preserve">Suspendido </t>
  </si>
  <si>
    <t>25AS111B2794</t>
  </si>
  <si>
    <t xml:space="preserve">Placa huella JAC Vereda La Unión </t>
  </si>
  <si>
    <t>25AS111B2798</t>
  </si>
  <si>
    <t xml:space="preserve">Placa huella JAC Vereda Guayabal Corregimiento Cestillal </t>
  </si>
  <si>
    <t>25AS111B2678</t>
  </si>
  <si>
    <t>Alcantarillado y Pavimentación corregimiento Juntas de Uramita</t>
  </si>
  <si>
    <t>9,39 km</t>
  </si>
  <si>
    <t>Mejoramiento y construcción de obras para mitigación de riesgo Urumita - Peque</t>
  </si>
  <si>
    <t>Urrao</t>
  </si>
  <si>
    <t xml:space="preserve">Puente vía La Loma - Orobugo Arriba L= 73,7 m </t>
  </si>
  <si>
    <t>Puente vía El Volcan L=40m</t>
  </si>
  <si>
    <t>Valparaíso</t>
  </si>
  <si>
    <t>Valparaíso - Támesis: L =22,51 km</t>
  </si>
  <si>
    <t xml:space="preserve">Valparaíso - Támesis: L =22,51 </t>
  </si>
  <si>
    <t>Vegachí</t>
  </si>
  <si>
    <t xml:space="preserve">Vegachí </t>
  </si>
  <si>
    <t>Construcción Parques del Río, etapa 1</t>
  </si>
  <si>
    <t>5809 m2</t>
  </si>
  <si>
    <t>24AS111B2017</t>
  </si>
  <si>
    <t>Termiando 2025</t>
  </si>
  <si>
    <t>Venecia</t>
  </si>
  <si>
    <t xml:space="preserve">Puente Mi Casita L= 22,4 km </t>
  </si>
  <si>
    <t xml:space="preserve">Puente Mi Casita L= 22,4  </t>
  </si>
  <si>
    <t>Puente vehicular vereda El recreo 45 m (quebrada La Garces)</t>
  </si>
  <si>
    <t>Vigía del Fuerte</t>
  </si>
  <si>
    <t>24AS111B2046</t>
  </si>
  <si>
    <t>Vías peatonales en concreto reforzado</t>
  </si>
  <si>
    <t xml:space="preserve">0,14 km </t>
  </si>
  <si>
    <t xml:space="preserve">Aeropuertos </t>
  </si>
  <si>
    <t xml:space="preserve">Obras complementarias Aeropuerto Vigía </t>
  </si>
  <si>
    <t>Cerramiento y lleno estructural</t>
  </si>
  <si>
    <r>
      <t xml:space="preserve">Se encuentra suspendido por por condiciones climatológicas desfavorables en en el municipio que generaron alta saturación del terreno, aumento del nivel freático y pérdida de capacidad portante del suelo. 
</t>
    </r>
    <r>
      <rPr>
        <b/>
        <sz val="11"/>
        <color theme="1"/>
        <rFont val="Poppins"/>
      </rPr>
      <t>Fecha de renaudación: 28/04/2026</t>
    </r>
  </si>
  <si>
    <t>Yalí</t>
  </si>
  <si>
    <t>25AS111B2069</t>
  </si>
  <si>
    <t>Yolombó</t>
  </si>
  <si>
    <t>25AS111B2687</t>
  </si>
  <si>
    <t>25AS111B2785</t>
  </si>
  <si>
    <t>Placa huella JAC Corregimiento Villa Nueva</t>
  </si>
  <si>
    <t xml:space="preserve">Puente gavino L= 130 m </t>
  </si>
  <si>
    <t>24AS111B2031</t>
  </si>
  <si>
    <t xml:space="preserve">2km </t>
  </si>
  <si>
    <t>Yarumal</t>
  </si>
  <si>
    <t>25AS111B2089</t>
  </si>
  <si>
    <t>Construcción  Puente</t>
  </si>
  <si>
    <t>Viaducto Cedeño 
L= 30 m</t>
  </si>
  <si>
    <t xml:space="preserve">Remodelación Parque Principal </t>
  </si>
  <si>
    <t>7,439 m2</t>
  </si>
  <si>
    <t xml:space="preserve">Yarumal </t>
  </si>
  <si>
    <t>Yondó</t>
  </si>
  <si>
    <t>La Ye - Yondó: L=30 km</t>
  </si>
  <si>
    <t xml:space="preserve">En ejecución de apiques, topografía y logística preliminar </t>
  </si>
  <si>
    <t>Anillo vial- Ecopetrol</t>
  </si>
  <si>
    <t xml:space="preserve">L= 9 km </t>
  </si>
  <si>
    <t xml:space="preserve">Mejoramiento vía Yondó- Cantagallo </t>
  </si>
  <si>
    <t xml:space="preserve">Mejoramiento del corredor vial Yondó - Cantagallo etapa II: L=10 km </t>
  </si>
  <si>
    <t xml:space="preserve">En estructuración, pendiente financiación </t>
  </si>
  <si>
    <t>Zaragoza</t>
  </si>
  <si>
    <t>Mejoramiento de la vía partidas a Zaragoza - El Bagre en el municipio de Zaragoza, ETAPA II</t>
  </si>
  <si>
    <t xml:space="preserve">2,8 km </t>
  </si>
  <si>
    <t>Se continúa con los trámites administrativos y se proyecta inicar la obra a mediados del mes de junio de 2026.</t>
  </si>
  <si>
    <t>25AS111B2690</t>
  </si>
  <si>
    <t>24AS111B2055</t>
  </si>
  <si>
    <t>Placa Huella en la vía Los Chivos- Patos</t>
  </si>
  <si>
    <r>
      <rPr>
        <b/>
        <sz val="11"/>
        <color rgb="FFFF0000"/>
        <rFont val="Poppins"/>
      </rPr>
      <t>TERMINACIÓN ANTICIPADA</t>
    </r>
    <r>
      <rPr>
        <sz val="11"/>
        <color rgb="FFFF0000"/>
        <rFont val="Poppins"/>
      </rPr>
      <t xml:space="preserve">
Se terminó el convenio</t>
    </r>
    <r>
      <rPr>
        <b/>
        <sz val="11"/>
        <color rgb="FFFF0000"/>
        <rFont val="Poppins"/>
      </rPr>
      <t xml:space="preserve"> 29/07/2025</t>
    </r>
    <r>
      <rPr>
        <sz val="11"/>
        <color rgb="FFFF0000"/>
        <rFont val="Poppins"/>
      </rPr>
      <t>, en 0% de ejecución, el municipio no solicitó materiales.</t>
    </r>
  </si>
  <si>
    <t>ESTABILIZACIÓN</t>
  </si>
  <si>
    <t>VALOR OBRA</t>
  </si>
  <si>
    <t>VALOR INTERVENTORÍA</t>
  </si>
  <si>
    <t>km</t>
  </si>
  <si>
    <t>VALOR POR km</t>
  </si>
  <si>
    <t>LOTE 1</t>
  </si>
  <si>
    <t>ORIENTE</t>
  </si>
  <si>
    <t>LOTE 2</t>
  </si>
  <si>
    <t>OCCIDENTE</t>
  </si>
  <si>
    <t>LOTE 3</t>
  </si>
  <si>
    <t>URABÁ</t>
  </si>
  <si>
    <t>LOTE 4</t>
  </si>
  <si>
    <t>MAGDALENA MEDIO</t>
  </si>
  <si>
    <t>LOTE 5</t>
  </si>
  <si>
    <t>SUROESTE</t>
  </si>
  <si>
    <t>LOTE 6</t>
  </si>
  <si>
    <t>NORDESTE</t>
  </si>
  <si>
    <t>LOTE 7</t>
  </si>
  <si>
    <t>BAJO CAUCA</t>
  </si>
  <si>
    <t>LOTE 8</t>
  </si>
  <si>
    <t>NORTE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</si>
</sst>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&quot;$&quot;\ #,##0;[Red]\-&quot;$&quot;\ #,##0"/>
    <numFmt numFmtId="165" formatCode="_-&quot;$&quot;\ * #,##0.00_-;\-&quot;$&quot;\ * #,##0.00_-;_-&quot;$&quot;\ * &quot;-&quot;??_-;_-@_-"/>
    <numFmt numFmtId="166" formatCode="&quot;$&quot;\ #,##0"/>
    <numFmt numFmtId="167" formatCode="_-[$$-240A]\ * #,##0_-;\-[$$-240A]\ * #,##0_-;_-[$$-240A]\ * &quot;-&quot;??_-;_-@_-"/>
    <numFmt numFmtId="168" formatCode="&quot;$&quot;#,##0"/>
    <numFmt numFmtId="169" formatCode="&quot;$&quot;#,##0.00"/>
    <numFmt numFmtId="170" formatCode="0.0"/>
    <numFmt numFmtId="171" formatCode="_-&quot;$&quot;\ * #,##0_-;\-&quot;$&quot;\ * #,##0_-;_-&quot;$&quot;\ * &quot;-&quot;??_-;_-@_-"/>
    <numFmt numFmtId="172" formatCode="[$-F800]dddd\,\ mmmm\ dd\,\ yyyy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Poppins"/>
    </font>
    <font>
      <b/>
      <sz val="11"/>
      <color theme="1"/>
      <name val="Poppins"/>
    </font>
    <font>
      <sz val="11"/>
      <color rgb="FF000000"/>
      <name val="Poppins"/>
    </font>
    <font>
      <b/>
      <sz val="11"/>
      <color rgb="FF000000"/>
      <name val="Poppins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Poppins"/>
    </font>
    <font>
      <b/>
      <sz val="11"/>
      <color rgb="FFFF0000"/>
      <name val="Poppins"/>
    </font>
    <font>
      <vertAlign val="superscript"/>
      <sz val="10"/>
      <color theme="1"/>
      <name val="Poppins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3">
    <xf numFmtId="0" fontId="0" fillId="0" borderId="0" xfId="0"/>
    <xf numFmtId="10" fontId="2" fillId="0" borderId="1" xfId="2" applyNumberFormat="1" applyFont="1" applyFill="1" applyBorder="1" applyAlignment="1">
      <alignment horizontal="center" vertical="center" wrapText="1"/>
    </xf>
    <xf numFmtId="166" fontId="2" fillId="0" borderId="1" xfId="1" applyNumberFormat="1" applyFont="1" applyFill="1" applyBorder="1" applyAlignment="1">
      <alignment horizontal="center" vertical="center"/>
    </xf>
    <xf numFmtId="166" fontId="2" fillId="0" borderId="1" xfId="1" applyNumberFormat="1" applyFont="1" applyFill="1" applyBorder="1" applyAlignment="1">
      <alignment horizontal="center" vertical="center" wrapText="1"/>
    </xf>
    <xf numFmtId="166" fontId="2" fillId="0" borderId="2" xfId="1" applyNumberFormat="1" applyFont="1" applyFill="1" applyBorder="1" applyAlignment="1">
      <alignment horizontal="center" vertical="center"/>
    </xf>
    <xf numFmtId="166" fontId="3" fillId="0" borderId="1" xfId="1" applyNumberFormat="1" applyFont="1" applyFill="1" applyBorder="1" applyAlignment="1">
      <alignment horizontal="center" vertical="center" wrapText="1"/>
    </xf>
    <xf numFmtId="9" fontId="3" fillId="0" borderId="1" xfId="2" applyFont="1" applyFill="1" applyBorder="1" applyAlignment="1">
      <alignment horizontal="center" vertical="center"/>
    </xf>
    <xf numFmtId="166" fontId="2" fillId="0" borderId="0" xfId="1" applyNumberFormat="1" applyFont="1" applyFill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164" fontId="2" fillId="0" borderId="1" xfId="1" applyNumberFormat="1" applyFont="1" applyFill="1" applyBorder="1" applyAlignment="1">
      <alignment horizontal="center" vertical="center"/>
    </xf>
    <xf numFmtId="164" fontId="2" fillId="0" borderId="1" xfId="1" applyNumberFormat="1" applyFont="1" applyFill="1" applyBorder="1" applyAlignment="1">
      <alignment horizontal="center" vertical="center" wrapText="1"/>
    </xf>
    <xf numFmtId="168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9" fontId="3" fillId="0" borderId="1" xfId="2" applyFont="1" applyFill="1" applyBorder="1" applyAlignment="1">
      <alignment horizontal="center" vertical="center" wrapText="1"/>
    </xf>
    <xf numFmtId="168" fontId="2" fillId="0" borderId="10" xfId="0" applyNumberFormat="1" applyFont="1" applyBorder="1" applyAlignment="1">
      <alignment horizontal="center"/>
    </xf>
    <xf numFmtId="169" fontId="2" fillId="0" borderId="0" xfId="0" applyNumberFormat="1" applyFont="1" applyAlignment="1">
      <alignment horizontal="center"/>
    </xf>
    <xf numFmtId="168" fontId="2" fillId="0" borderId="5" xfId="0" applyNumberFormat="1" applyFont="1" applyBorder="1" applyAlignment="1">
      <alignment horizontal="center"/>
    </xf>
    <xf numFmtId="168" fontId="2" fillId="0" borderId="0" xfId="0" applyNumberFormat="1" applyFont="1" applyAlignment="1">
      <alignment horizontal="center"/>
    </xf>
    <xf numFmtId="165" fontId="2" fillId="0" borderId="0" xfId="1" applyFont="1"/>
    <xf numFmtId="166" fontId="2" fillId="0" borderId="0" xfId="1" applyNumberFormat="1" applyFont="1"/>
    <xf numFmtId="168" fontId="3" fillId="0" borderId="5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169" fontId="3" fillId="0" borderId="5" xfId="0" applyNumberFormat="1" applyFont="1" applyBorder="1" applyAlignment="1">
      <alignment horizontal="center" vertical="center"/>
    </xf>
    <xf numFmtId="164" fontId="2" fillId="0" borderId="1" xfId="1" applyNumberFormat="1" applyFont="1" applyFill="1" applyBorder="1" applyAlignment="1">
      <alignment vertical="center"/>
    </xf>
    <xf numFmtId="168" fontId="2" fillId="0" borderId="0" xfId="1" applyNumberFormat="1" applyFont="1" applyFill="1" applyBorder="1" applyAlignment="1">
      <alignment horizontal="center" vertical="center"/>
    </xf>
    <xf numFmtId="167" fontId="2" fillId="0" borderId="2" xfId="1" applyNumberFormat="1" applyFont="1" applyFill="1" applyBorder="1" applyAlignment="1">
      <alignment horizontal="center" vertical="center"/>
    </xf>
    <xf numFmtId="9" fontId="2" fillId="0" borderId="0" xfId="2" applyFont="1" applyFill="1" applyBorder="1" applyAlignment="1">
      <alignment horizontal="center" vertical="center"/>
    </xf>
    <xf numFmtId="166" fontId="8" fillId="0" borderId="1" xfId="1" applyNumberFormat="1" applyFont="1" applyFill="1" applyBorder="1" applyAlignment="1">
      <alignment horizontal="center" vertical="center"/>
    </xf>
    <xf numFmtId="9" fontId="8" fillId="0" borderId="1" xfId="2" applyFont="1" applyFill="1" applyBorder="1" applyAlignment="1">
      <alignment horizontal="center" vertical="center"/>
    </xf>
    <xf numFmtId="9" fontId="8" fillId="0" borderId="1" xfId="2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6" fontId="3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vertical="center"/>
    </xf>
    <xf numFmtId="166" fontId="4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171" fontId="2" fillId="0" borderId="1" xfId="1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5" fontId="2" fillId="0" borderId="1" xfId="0" applyNumberFormat="1" applyFont="1" applyBorder="1" applyAlignment="1">
      <alignment horizontal="center" vertical="center"/>
    </xf>
    <xf numFmtId="170" fontId="2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166" fontId="8" fillId="0" borderId="1" xfId="0" applyNumberFormat="1" applyFont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67" fontId="2" fillId="0" borderId="0" xfId="0" applyNumberFormat="1" applyFont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9" fontId="2" fillId="0" borderId="0" xfId="2" applyFont="1" applyFill="1" applyAlignment="1">
      <alignment horizontal="center" vertical="center"/>
    </xf>
    <xf numFmtId="166" fontId="2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166" fontId="2" fillId="2" borderId="1" xfId="1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9" fontId="2" fillId="0" borderId="1" xfId="2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 wrapText="1"/>
    </xf>
    <xf numFmtId="9" fontId="2" fillId="0" borderId="1" xfId="2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 readingOrder="1"/>
    </xf>
    <xf numFmtId="0" fontId="9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72" fontId="2" fillId="0" borderId="1" xfId="0" applyNumberFormat="1" applyFont="1" applyBorder="1" applyAlignment="1">
      <alignment horizontal="center" vertical="center"/>
    </xf>
    <xf numFmtId="172" fontId="3" fillId="0" borderId="1" xfId="0" applyNumberFormat="1" applyFont="1" applyBorder="1" applyAlignment="1">
      <alignment horizontal="center" vertical="center"/>
    </xf>
    <xf numFmtId="172" fontId="2" fillId="0" borderId="0" xfId="0" applyNumberFormat="1" applyFont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 wrapText="1"/>
    </xf>
    <xf numFmtId="166" fontId="2" fillId="0" borderId="4" xfId="0" applyNumberFormat="1" applyFont="1" applyBorder="1" applyAlignment="1">
      <alignment horizontal="center" vertical="center" wrapText="1"/>
    </xf>
    <xf numFmtId="166" fontId="2" fillId="0" borderId="3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9" fontId="2" fillId="0" borderId="1" xfId="2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 wrapText="1"/>
    </xf>
    <xf numFmtId="1" fontId="2" fillId="0" borderId="3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9" fontId="2" fillId="0" borderId="1" xfId="2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00CC99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71324-A880-40DD-8209-9E3234F3C075}">
  <sheetPr filterMode="1"/>
  <dimension ref="A1:W521"/>
  <sheetViews>
    <sheetView tabSelected="1" topLeftCell="C2" zoomScale="84" zoomScaleNormal="84" zoomScaleSheetLayoutView="94" workbookViewId="0">
      <selection activeCell="W13" sqref="W13"/>
    </sheetView>
  </sheetViews>
  <sheetFormatPr defaultColWidth="10.85546875" defaultRowHeight="15" customHeight="1"/>
  <cols>
    <col min="1" max="1" width="7.28515625" style="33" hidden="1" customWidth="1"/>
    <col min="2" max="2" width="22.28515625" style="33" customWidth="1"/>
    <col min="3" max="3" width="20.28515625" style="33" customWidth="1"/>
    <col min="4" max="4" width="19.5703125" style="33" customWidth="1"/>
    <col min="5" max="5" width="33.140625" style="55" customWidth="1"/>
    <col min="6" max="6" width="49.140625" style="33" customWidth="1"/>
    <col min="7" max="7" width="48.28515625" style="33" customWidth="1"/>
    <col min="8" max="8" width="35.5703125" style="33" hidden="1" customWidth="1"/>
    <col min="9" max="9" width="12.5703125" style="33" hidden="1" customWidth="1"/>
    <col min="10" max="10" width="23.140625" style="33" hidden="1" customWidth="1"/>
    <col min="11" max="11" width="26.7109375" style="7" customWidth="1"/>
    <col min="12" max="12" width="25.85546875" style="56" customWidth="1"/>
    <col min="13" max="13" width="24.28515625" style="33" customWidth="1"/>
    <col min="14" max="14" width="26" style="33" customWidth="1"/>
    <col min="15" max="15" width="32.5703125" style="33" hidden="1" customWidth="1"/>
    <col min="16" max="16" width="19.140625" style="33" customWidth="1"/>
    <col min="17" max="17" width="20.5703125" style="33" customWidth="1"/>
    <col min="18" max="18" width="23.5703125" style="86" hidden="1" customWidth="1"/>
    <col min="19" max="19" width="25.140625" style="89" hidden="1" customWidth="1"/>
    <col min="20" max="20" width="19.140625" style="59" customWidth="1"/>
    <col min="21" max="21" width="39.5703125" style="33" customWidth="1"/>
    <col min="22" max="22" width="16.7109375" style="29" customWidth="1"/>
    <col min="23" max="23" width="24.28515625" style="33" customWidth="1"/>
    <col min="24" max="16384" width="10.85546875" style="33"/>
  </cols>
  <sheetData>
    <row r="1" spans="1:23" ht="13.9" hidden="1">
      <c r="B1" s="103" t="s">
        <v>0</v>
      </c>
      <c r="C1" s="103"/>
      <c r="D1" s="78"/>
      <c r="E1" s="34"/>
      <c r="F1" s="78"/>
      <c r="G1" s="72"/>
      <c r="H1" s="72"/>
      <c r="I1" s="72"/>
      <c r="J1" s="72"/>
      <c r="K1" s="4"/>
      <c r="L1" s="28"/>
      <c r="M1" s="4"/>
      <c r="N1" s="78"/>
      <c r="O1" s="78"/>
      <c r="P1" s="72"/>
      <c r="Q1" s="78"/>
      <c r="R1" s="78"/>
      <c r="S1" s="78"/>
      <c r="T1" s="78"/>
      <c r="U1" s="73"/>
    </row>
    <row r="2" spans="1:23" ht="13.9">
      <c r="A2" s="75"/>
      <c r="B2" s="35" t="s">
        <v>1</v>
      </c>
      <c r="C2" s="35" t="s">
        <v>2</v>
      </c>
      <c r="D2" s="35" t="s">
        <v>3</v>
      </c>
      <c r="E2" s="36" t="s">
        <v>4</v>
      </c>
      <c r="F2" s="37" t="s">
        <v>5</v>
      </c>
      <c r="G2" s="37" t="s">
        <v>6</v>
      </c>
      <c r="H2" s="37" t="s">
        <v>7</v>
      </c>
      <c r="I2" s="37" t="s">
        <v>8</v>
      </c>
      <c r="J2" s="37" t="s">
        <v>9</v>
      </c>
      <c r="K2" s="5" t="s">
        <v>10</v>
      </c>
      <c r="L2" s="38" t="s">
        <v>11</v>
      </c>
      <c r="M2" s="5" t="s">
        <v>12</v>
      </c>
      <c r="N2" s="37" t="s">
        <v>13</v>
      </c>
      <c r="O2" s="37" t="s">
        <v>14</v>
      </c>
      <c r="P2" s="35" t="s">
        <v>15</v>
      </c>
      <c r="Q2" s="35" t="s">
        <v>16</v>
      </c>
      <c r="R2" s="84" t="s">
        <v>17</v>
      </c>
      <c r="S2" s="88" t="s">
        <v>18</v>
      </c>
      <c r="T2" s="6" t="s">
        <v>19</v>
      </c>
      <c r="U2" s="35" t="s">
        <v>20</v>
      </c>
      <c r="W2" s="13"/>
    </row>
    <row r="3" spans="1:23" ht="62.45" customHeight="1">
      <c r="A3" s="100">
        <v>1</v>
      </c>
      <c r="B3" s="66" t="s">
        <v>21</v>
      </c>
      <c r="C3" s="66" t="s">
        <v>22</v>
      </c>
      <c r="D3" s="66" t="s">
        <v>23</v>
      </c>
      <c r="E3" s="81">
        <v>4600018900</v>
      </c>
      <c r="F3" s="71" t="s">
        <v>24</v>
      </c>
      <c r="G3" s="71" t="s">
        <v>25</v>
      </c>
      <c r="H3" s="77">
        <v>23.77</v>
      </c>
      <c r="I3" s="77" t="s">
        <v>26</v>
      </c>
      <c r="J3" s="77" t="s">
        <v>27</v>
      </c>
      <c r="K3" s="79">
        <v>20453866674</v>
      </c>
      <c r="L3" s="79">
        <v>0</v>
      </c>
      <c r="M3" s="69">
        <f>+K3</f>
        <v>20453866674</v>
      </c>
      <c r="N3" s="66" t="s">
        <v>28</v>
      </c>
      <c r="O3" s="66" t="s">
        <v>29</v>
      </c>
      <c r="P3" s="66">
        <v>2025</v>
      </c>
      <c r="Q3" s="66" t="s">
        <v>30</v>
      </c>
      <c r="R3" s="87">
        <v>46174</v>
      </c>
      <c r="S3" s="87">
        <v>46497</v>
      </c>
      <c r="T3" s="80">
        <v>6.6E-3</v>
      </c>
      <c r="U3" s="76" t="s">
        <v>31</v>
      </c>
    </row>
    <row r="4" spans="1:23" ht="62.45" customHeight="1">
      <c r="A4" s="100"/>
      <c r="B4" s="71" t="s">
        <v>21</v>
      </c>
      <c r="C4" s="66" t="s">
        <v>22</v>
      </c>
      <c r="D4" s="66" t="s">
        <v>23</v>
      </c>
      <c r="E4" s="81">
        <v>4600018900</v>
      </c>
      <c r="F4" s="71" t="s">
        <v>32</v>
      </c>
      <c r="G4" s="71" t="s">
        <v>33</v>
      </c>
      <c r="H4" s="71">
        <v>20.260000000000002</v>
      </c>
      <c r="I4" s="71" t="s">
        <v>26</v>
      </c>
      <c r="J4" s="71" t="s">
        <v>27</v>
      </c>
      <c r="K4" s="79">
        <v>23070485659</v>
      </c>
      <c r="L4" s="79">
        <v>0</v>
      </c>
      <c r="M4" s="69">
        <f>+K4</f>
        <v>23070485659</v>
      </c>
      <c r="N4" s="71" t="s">
        <v>28</v>
      </c>
      <c r="O4" s="66" t="s">
        <v>29</v>
      </c>
      <c r="P4" s="66">
        <v>2025</v>
      </c>
      <c r="Q4" s="66" t="s">
        <v>30</v>
      </c>
      <c r="R4" s="87">
        <v>46174</v>
      </c>
      <c r="S4" s="87">
        <v>46497</v>
      </c>
      <c r="T4" s="80">
        <v>1E-3</v>
      </c>
      <c r="U4" s="76" t="s">
        <v>31</v>
      </c>
    </row>
    <row r="5" spans="1:23" ht="41.45" hidden="1">
      <c r="A5" s="100"/>
      <c r="B5" s="66" t="s">
        <v>21</v>
      </c>
      <c r="C5" s="66" t="s">
        <v>22</v>
      </c>
      <c r="D5" s="66" t="s">
        <v>34</v>
      </c>
      <c r="E5" s="81">
        <v>2022003050018</v>
      </c>
      <c r="F5" s="71" t="s">
        <v>35</v>
      </c>
      <c r="G5" s="71" t="s">
        <v>36</v>
      </c>
      <c r="H5" s="39">
        <v>2.06</v>
      </c>
      <c r="I5" s="39"/>
      <c r="J5" s="39"/>
      <c r="K5" s="79">
        <v>4451449104.1000004</v>
      </c>
      <c r="L5" s="79">
        <v>695573310</v>
      </c>
      <c r="M5" s="69">
        <f>+K5+L5</f>
        <v>5147022414.1000004</v>
      </c>
      <c r="N5" s="66" t="s">
        <v>37</v>
      </c>
      <c r="O5" s="66" t="s">
        <v>29</v>
      </c>
      <c r="P5" s="66">
        <v>2022</v>
      </c>
      <c r="Q5" s="66" t="s">
        <v>38</v>
      </c>
      <c r="R5" s="66"/>
      <c r="S5" s="66"/>
      <c r="T5" s="80">
        <v>0.96</v>
      </c>
      <c r="U5" s="71" t="s">
        <v>39</v>
      </c>
    </row>
    <row r="6" spans="1:23" ht="27.6" hidden="1">
      <c r="A6" s="72"/>
      <c r="B6" s="71" t="s">
        <v>40</v>
      </c>
      <c r="C6" s="66" t="s">
        <v>41</v>
      </c>
      <c r="D6" s="66" t="s">
        <v>42</v>
      </c>
      <c r="E6" s="81">
        <v>2019000040080</v>
      </c>
      <c r="F6" s="71" t="s">
        <v>43</v>
      </c>
      <c r="G6" s="71" t="s">
        <v>44</v>
      </c>
      <c r="H6" s="71"/>
      <c r="I6" s="71"/>
      <c r="J6" s="71"/>
      <c r="K6" s="79">
        <v>23880402999</v>
      </c>
      <c r="L6" s="79">
        <v>0</v>
      </c>
      <c r="M6" s="69">
        <f>+K6</f>
        <v>23880402999</v>
      </c>
      <c r="N6" s="71" t="s">
        <v>37</v>
      </c>
      <c r="O6" s="71" t="s">
        <v>45</v>
      </c>
      <c r="P6" s="66">
        <v>2019</v>
      </c>
      <c r="Q6" s="66" t="s">
        <v>30</v>
      </c>
      <c r="R6" s="66"/>
      <c r="S6" s="66"/>
      <c r="T6" s="80">
        <v>0.89229999999999998</v>
      </c>
      <c r="U6" s="66"/>
    </row>
    <row r="7" spans="1:23" ht="13.9" hidden="1">
      <c r="A7" s="99">
        <v>2</v>
      </c>
      <c r="B7" s="71" t="s">
        <v>40</v>
      </c>
      <c r="C7" s="66" t="s">
        <v>41</v>
      </c>
      <c r="D7" s="66" t="s">
        <v>23</v>
      </c>
      <c r="E7" s="81"/>
      <c r="F7" s="71" t="s">
        <v>46</v>
      </c>
      <c r="G7" s="71" t="s">
        <v>47</v>
      </c>
      <c r="H7" s="71"/>
      <c r="I7" s="71"/>
      <c r="J7" s="71"/>
      <c r="K7" s="79"/>
      <c r="L7" s="79"/>
      <c r="M7" s="69"/>
      <c r="N7" s="71"/>
      <c r="O7" s="71"/>
      <c r="P7" s="66"/>
      <c r="Q7" s="66"/>
      <c r="R7" s="66"/>
      <c r="S7" s="66"/>
      <c r="T7" s="66"/>
      <c r="U7" s="66"/>
    </row>
    <row r="8" spans="1:23" ht="13.9" hidden="1">
      <c r="A8" s="104"/>
      <c r="B8" s="71" t="s">
        <v>40</v>
      </c>
      <c r="C8" s="66" t="s">
        <v>41</v>
      </c>
      <c r="D8" s="66" t="s">
        <v>48</v>
      </c>
      <c r="E8" s="81">
        <v>4600015639</v>
      </c>
      <c r="F8" s="71" t="s">
        <v>49</v>
      </c>
      <c r="G8" s="71" t="s">
        <v>50</v>
      </c>
      <c r="H8" s="71"/>
      <c r="I8" s="71"/>
      <c r="J8" s="71"/>
      <c r="K8" s="79">
        <v>1500000000</v>
      </c>
      <c r="L8" s="79">
        <v>234476838</v>
      </c>
      <c r="M8" s="69">
        <f>+K8+L8</f>
        <v>1734476838</v>
      </c>
      <c r="N8" s="71" t="s">
        <v>28</v>
      </c>
      <c r="O8" s="71" t="s">
        <v>51</v>
      </c>
      <c r="P8" s="66">
        <v>2023</v>
      </c>
      <c r="Q8" s="66" t="s">
        <v>52</v>
      </c>
      <c r="R8" s="66"/>
      <c r="S8" s="66"/>
      <c r="T8" s="70">
        <v>1</v>
      </c>
      <c r="U8" s="66"/>
    </row>
    <row r="9" spans="1:23" ht="41.45">
      <c r="A9" s="104"/>
      <c r="B9" s="71" t="s">
        <v>40</v>
      </c>
      <c r="C9" s="66" t="s">
        <v>41</v>
      </c>
      <c r="D9" s="66" t="s">
        <v>23</v>
      </c>
      <c r="E9" s="81">
        <v>4600014453</v>
      </c>
      <c r="F9" s="71" t="s">
        <v>53</v>
      </c>
      <c r="G9" s="66" t="s">
        <v>54</v>
      </c>
      <c r="H9" s="66">
        <v>10</v>
      </c>
      <c r="I9" s="66" t="s">
        <v>26</v>
      </c>
      <c r="J9" s="66" t="s">
        <v>55</v>
      </c>
      <c r="K9" s="69">
        <v>43458000000</v>
      </c>
      <c r="L9" s="69">
        <v>0</v>
      </c>
      <c r="M9" s="69">
        <f>+K9</f>
        <v>43458000000</v>
      </c>
      <c r="N9" s="71" t="s">
        <v>28</v>
      </c>
      <c r="O9" s="71" t="s">
        <v>51</v>
      </c>
      <c r="P9" s="66">
        <v>2024</v>
      </c>
      <c r="Q9" s="66" t="s">
        <v>30</v>
      </c>
      <c r="R9" s="66"/>
      <c r="S9" s="66"/>
      <c r="T9" s="40">
        <v>0.92</v>
      </c>
      <c r="U9" s="66"/>
    </row>
    <row r="10" spans="1:23" ht="41.45">
      <c r="A10" s="100"/>
      <c r="B10" s="66" t="s">
        <v>40</v>
      </c>
      <c r="C10" s="66" t="s">
        <v>41</v>
      </c>
      <c r="D10" s="66" t="s">
        <v>23</v>
      </c>
      <c r="E10" s="66">
        <v>4600018738</v>
      </c>
      <c r="F10" s="71" t="s">
        <v>53</v>
      </c>
      <c r="G10" s="66" t="s">
        <v>56</v>
      </c>
      <c r="H10" s="66">
        <v>7.9</v>
      </c>
      <c r="I10" s="66" t="s">
        <v>26</v>
      </c>
      <c r="J10" s="66" t="s">
        <v>55</v>
      </c>
      <c r="K10" s="69">
        <v>6069000000</v>
      </c>
      <c r="L10" s="66">
        <v>0</v>
      </c>
      <c r="M10" s="69">
        <f>+K10</f>
        <v>6069000000</v>
      </c>
      <c r="N10" s="66" t="s">
        <v>28</v>
      </c>
      <c r="O10" s="66" t="s">
        <v>29</v>
      </c>
      <c r="P10" s="66">
        <v>2025</v>
      </c>
      <c r="Q10" s="66" t="s">
        <v>30</v>
      </c>
      <c r="R10" s="66"/>
      <c r="S10" s="66"/>
      <c r="T10" s="66"/>
      <c r="U10" s="66" t="s">
        <v>57</v>
      </c>
    </row>
    <row r="11" spans="1:23" ht="27.6">
      <c r="A11" s="93">
        <v>3</v>
      </c>
      <c r="B11" s="71" t="s">
        <v>58</v>
      </c>
      <c r="C11" s="66" t="s">
        <v>22</v>
      </c>
      <c r="D11" s="66" t="s">
        <v>23</v>
      </c>
      <c r="E11" s="81">
        <v>4600018900</v>
      </c>
      <c r="F11" s="71" t="s">
        <v>59</v>
      </c>
      <c r="G11" s="71" t="s">
        <v>60</v>
      </c>
      <c r="H11" s="77">
        <v>2.2599999999999998</v>
      </c>
      <c r="I11" s="77" t="s">
        <v>26</v>
      </c>
      <c r="J11" s="77" t="s">
        <v>27</v>
      </c>
      <c r="K11" s="79">
        <f>+'Estabilización datos '!G3*2.26</f>
        <v>3899471402.6819305</v>
      </c>
      <c r="L11" s="79">
        <v>0</v>
      </c>
      <c r="M11" s="2">
        <f>+K11</f>
        <v>3899471402.6819305</v>
      </c>
      <c r="N11" s="71" t="s">
        <v>28</v>
      </c>
      <c r="O11" s="66" t="s">
        <v>29</v>
      </c>
      <c r="P11" s="66">
        <v>2025</v>
      </c>
      <c r="Q11" s="66" t="s">
        <v>30</v>
      </c>
      <c r="R11" s="85"/>
      <c r="S11" s="87"/>
      <c r="T11" s="80">
        <v>0</v>
      </c>
      <c r="U11" s="76" t="s">
        <v>31</v>
      </c>
    </row>
    <row r="12" spans="1:23" ht="52.9" customHeight="1">
      <c r="A12" s="93"/>
      <c r="B12" s="71" t="s">
        <v>58</v>
      </c>
      <c r="C12" s="66" t="s">
        <v>22</v>
      </c>
      <c r="D12" s="66" t="s">
        <v>61</v>
      </c>
      <c r="E12" s="81" t="s">
        <v>62</v>
      </c>
      <c r="F12" s="71" t="s">
        <v>63</v>
      </c>
      <c r="G12" s="71" t="s">
        <v>64</v>
      </c>
      <c r="H12" s="71">
        <v>5</v>
      </c>
      <c r="I12" s="71"/>
      <c r="J12" s="71" t="s">
        <v>61</v>
      </c>
      <c r="K12" s="79">
        <v>6892222466</v>
      </c>
      <c r="L12" s="79">
        <v>0</v>
      </c>
      <c r="M12" s="2">
        <f>+K12</f>
        <v>6892222466</v>
      </c>
      <c r="N12" s="71" t="s">
        <v>28</v>
      </c>
      <c r="O12" s="66" t="s">
        <v>65</v>
      </c>
      <c r="P12" s="66">
        <v>2025</v>
      </c>
      <c r="Q12" s="66" t="s">
        <v>30</v>
      </c>
      <c r="R12" s="66"/>
      <c r="S12" s="66"/>
      <c r="T12" s="80">
        <v>0.03</v>
      </c>
      <c r="U12" s="76"/>
    </row>
    <row r="13" spans="1:23" ht="13.9">
      <c r="A13" s="93"/>
      <c r="B13" s="71" t="s">
        <v>58</v>
      </c>
      <c r="C13" s="66" t="s">
        <v>22</v>
      </c>
      <c r="D13" s="66" t="s">
        <v>66</v>
      </c>
      <c r="E13" s="81">
        <v>4600017869</v>
      </c>
      <c r="F13" s="71" t="s">
        <v>67</v>
      </c>
      <c r="G13" s="66" t="s">
        <v>68</v>
      </c>
      <c r="H13" s="66">
        <v>0.75</v>
      </c>
      <c r="I13" s="66"/>
      <c r="J13" s="66"/>
      <c r="K13" s="69">
        <v>1640831632</v>
      </c>
      <c r="L13" s="69">
        <v>410207908</v>
      </c>
      <c r="M13" s="2">
        <f>+K13+L13</f>
        <v>2051039540</v>
      </c>
      <c r="N13" s="71" t="s">
        <v>28</v>
      </c>
      <c r="O13" s="71" t="s">
        <v>51</v>
      </c>
      <c r="P13" s="66">
        <v>2025</v>
      </c>
      <c r="Q13" s="66" t="s">
        <v>52</v>
      </c>
      <c r="R13" s="66"/>
      <c r="S13" s="66"/>
      <c r="T13" s="70">
        <v>1</v>
      </c>
      <c r="U13" s="66" t="s">
        <v>69</v>
      </c>
    </row>
    <row r="14" spans="1:23" ht="13.9">
      <c r="A14" s="93"/>
      <c r="B14" s="71" t="s">
        <v>58</v>
      </c>
      <c r="C14" s="66" t="s">
        <v>22</v>
      </c>
      <c r="D14" s="66" t="s">
        <v>42</v>
      </c>
      <c r="E14" s="81" t="s">
        <v>70</v>
      </c>
      <c r="F14" s="71" t="s">
        <v>71</v>
      </c>
      <c r="G14" s="66" t="s">
        <v>72</v>
      </c>
      <c r="H14" s="66">
        <v>0.3</v>
      </c>
      <c r="I14" s="66"/>
      <c r="J14" s="66"/>
      <c r="K14" s="69">
        <v>105000000</v>
      </c>
      <c r="L14" s="69">
        <v>292159565</v>
      </c>
      <c r="M14" s="2">
        <f>+L14+K14</f>
        <v>397159565</v>
      </c>
      <c r="N14" s="71" t="s">
        <v>73</v>
      </c>
      <c r="O14" s="71" t="s">
        <v>51</v>
      </c>
      <c r="P14" s="66">
        <v>2025</v>
      </c>
      <c r="Q14" s="66" t="s">
        <v>38</v>
      </c>
      <c r="R14" s="66"/>
      <c r="S14" s="66"/>
      <c r="T14" s="70">
        <v>1</v>
      </c>
      <c r="U14" s="66" t="s">
        <v>74</v>
      </c>
    </row>
    <row r="15" spans="1:23" ht="13.9">
      <c r="A15" s="93"/>
      <c r="B15" s="71" t="s">
        <v>58</v>
      </c>
      <c r="C15" s="66" t="s">
        <v>22</v>
      </c>
      <c r="D15" s="66" t="s">
        <v>42</v>
      </c>
      <c r="E15" s="81">
        <v>2025003050047</v>
      </c>
      <c r="F15" s="71" t="s">
        <v>75</v>
      </c>
      <c r="G15" s="66" t="s">
        <v>76</v>
      </c>
      <c r="H15" s="66" t="s">
        <v>77</v>
      </c>
      <c r="I15" s="66"/>
      <c r="J15" s="66" t="s">
        <v>55</v>
      </c>
      <c r="K15" s="69">
        <v>2577210949</v>
      </c>
      <c r="L15" s="69">
        <v>0</v>
      </c>
      <c r="M15" s="2">
        <f>+K15</f>
        <v>2577210949</v>
      </c>
      <c r="N15" s="71" t="s">
        <v>37</v>
      </c>
      <c r="O15" s="71" t="s">
        <v>78</v>
      </c>
      <c r="P15" s="66">
        <v>2026</v>
      </c>
      <c r="Q15" s="66" t="s">
        <v>30</v>
      </c>
      <c r="R15" s="66"/>
      <c r="S15" s="66"/>
      <c r="T15" s="70">
        <v>0.23</v>
      </c>
      <c r="U15" s="66"/>
    </row>
    <row r="16" spans="1:23" ht="66.599999999999994" customHeight="1">
      <c r="A16" s="93"/>
      <c r="B16" s="71" t="s">
        <v>58</v>
      </c>
      <c r="C16" s="66" t="s">
        <v>22</v>
      </c>
      <c r="D16" s="66" t="s">
        <v>42</v>
      </c>
      <c r="E16" s="81" t="s">
        <v>79</v>
      </c>
      <c r="F16" s="71" t="s">
        <v>80</v>
      </c>
      <c r="G16" s="66" t="s">
        <v>76</v>
      </c>
      <c r="H16" s="66">
        <v>1</v>
      </c>
      <c r="I16" s="66"/>
      <c r="J16" s="66"/>
      <c r="K16" s="69">
        <v>349992727</v>
      </c>
      <c r="L16" s="69">
        <v>603615690</v>
      </c>
      <c r="M16" s="2">
        <f>+K16+L16</f>
        <v>953608417</v>
      </c>
      <c r="N16" s="71" t="s">
        <v>73</v>
      </c>
      <c r="O16" s="71" t="s">
        <v>51</v>
      </c>
      <c r="P16" s="66">
        <v>2024</v>
      </c>
      <c r="Q16" s="66" t="s">
        <v>52</v>
      </c>
      <c r="R16" s="66"/>
      <c r="S16" s="66"/>
      <c r="T16" s="80">
        <v>1</v>
      </c>
      <c r="U16" s="71" t="s">
        <v>81</v>
      </c>
    </row>
    <row r="17" spans="1:21" ht="13.9" hidden="1">
      <c r="A17" s="66"/>
      <c r="B17" s="71" t="s">
        <v>82</v>
      </c>
      <c r="C17" s="66" t="s">
        <v>83</v>
      </c>
      <c r="D17" s="66" t="s">
        <v>23</v>
      </c>
      <c r="E17" s="81" t="s">
        <v>62</v>
      </c>
      <c r="F17" s="71" t="s">
        <v>84</v>
      </c>
      <c r="G17" s="66" t="s">
        <v>85</v>
      </c>
      <c r="H17" s="66">
        <v>11.2</v>
      </c>
      <c r="I17" s="66" t="s">
        <v>26</v>
      </c>
      <c r="J17" s="66" t="s">
        <v>55</v>
      </c>
      <c r="K17" s="69"/>
      <c r="L17" s="69"/>
      <c r="M17" s="2"/>
      <c r="N17" s="71"/>
      <c r="O17" s="71"/>
      <c r="P17" s="66"/>
      <c r="Q17" s="66"/>
      <c r="R17" s="66"/>
      <c r="S17" s="66"/>
      <c r="T17" s="80"/>
      <c r="U17" s="71"/>
    </row>
    <row r="18" spans="1:21" ht="61.15" customHeight="1">
      <c r="A18" s="66">
        <v>4</v>
      </c>
      <c r="B18" s="71" t="s">
        <v>82</v>
      </c>
      <c r="C18" s="66" t="s">
        <v>83</v>
      </c>
      <c r="D18" s="66" t="s">
        <v>42</v>
      </c>
      <c r="E18" s="81">
        <v>2025003050003</v>
      </c>
      <c r="F18" s="71" t="s">
        <v>86</v>
      </c>
      <c r="G18" s="66" t="s">
        <v>87</v>
      </c>
      <c r="H18" s="66">
        <v>3.5</v>
      </c>
      <c r="I18" s="66" t="s">
        <v>88</v>
      </c>
      <c r="J18" s="66" t="s">
        <v>55</v>
      </c>
      <c r="K18" s="2">
        <v>4519742225</v>
      </c>
      <c r="L18" s="69">
        <f>+M18-K18</f>
        <v>1061912850</v>
      </c>
      <c r="M18" s="2">
        <v>5581655075</v>
      </c>
      <c r="N18" s="2" t="s">
        <v>37</v>
      </c>
      <c r="O18" s="2" t="s">
        <v>45</v>
      </c>
      <c r="P18" s="66">
        <v>2025</v>
      </c>
      <c r="Q18" s="66" t="s">
        <v>30</v>
      </c>
      <c r="R18" s="66"/>
      <c r="S18" s="66"/>
      <c r="T18" s="70">
        <v>0.87</v>
      </c>
      <c r="U18" s="71"/>
    </row>
    <row r="19" spans="1:21" ht="41.45" hidden="1">
      <c r="A19" s="66"/>
      <c r="B19" s="71" t="s">
        <v>89</v>
      </c>
      <c r="C19" s="66" t="s">
        <v>90</v>
      </c>
      <c r="D19" s="66" t="s">
        <v>42</v>
      </c>
      <c r="E19" s="81">
        <v>2020000040028</v>
      </c>
      <c r="F19" s="71" t="s">
        <v>91</v>
      </c>
      <c r="G19" s="66" t="s">
        <v>92</v>
      </c>
      <c r="H19" s="66">
        <v>3.3</v>
      </c>
      <c r="I19" s="66" t="s">
        <v>88</v>
      </c>
      <c r="J19" s="66" t="s">
        <v>55</v>
      </c>
      <c r="K19" s="2">
        <v>22647234828</v>
      </c>
      <c r="L19" s="69">
        <v>0</v>
      </c>
      <c r="M19" s="2">
        <f>+K19</f>
        <v>22647234828</v>
      </c>
      <c r="N19" s="2" t="s">
        <v>37</v>
      </c>
      <c r="O19" s="2" t="s">
        <v>45</v>
      </c>
      <c r="P19" s="66">
        <v>2020</v>
      </c>
      <c r="Q19" s="66" t="s">
        <v>30</v>
      </c>
      <c r="R19" s="66"/>
      <c r="S19" s="66"/>
      <c r="T19" s="70">
        <v>0.67749999999999999</v>
      </c>
      <c r="U19" s="71" t="s">
        <v>39</v>
      </c>
    </row>
    <row r="20" spans="1:21" ht="97.9" hidden="1" customHeight="1">
      <c r="A20" s="93">
        <v>5</v>
      </c>
      <c r="B20" s="71" t="s">
        <v>89</v>
      </c>
      <c r="C20" s="66" t="s">
        <v>90</v>
      </c>
      <c r="D20" s="66" t="s">
        <v>23</v>
      </c>
      <c r="E20" s="66" t="s">
        <v>93</v>
      </c>
      <c r="F20" s="71" t="s">
        <v>94</v>
      </c>
      <c r="G20" s="71" t="s">
        <v>95</v>
      </c>
      <c r="H20" s="71">
        <v>1</v>
      </c>
      <c r="I20" s="71" t="s">
        <v>26</v>
      </c>
      <c r="J20" s="71" t="s">
        <v>55</v>
      </c>
      <c r="K20" s="3">
        <v>5175635183</v>
      </c>
      <c r="L20" s="79">
        <v>0</v>
      </c>
      <c r="M20" s="2">
        <f>+K20</f>
        <v>5175635183</v>
      </c>
      <c r="N20" s="2" t="s">
        <v>28</v>
      </c>
      <c r="O20" s="2" t="s">
        <v>96</v>
      </c>
      <c r="P20" s="66">
        <v>2023</v>
      </c>
      <c r="Q20" s="66" t="s">
        <v>52</v>
      </c>
      <c r="R20" s="66"/>
      <c r="S20" s="66"/>
      <c r="T20" s="70">
        <v>1</v>
      </c>
      <c r="U20" s="71" t="s">
        <v>81</v>
      </c>
    </row>
    <row r="21" spans="1:21" ht="58.9" customHeight="1">
      <c r="A21" s="93"/>
      <c r="B21" s="71" t="s">
        <v>89</v>
      </c>
      <c r="C21" s="66" t="s">
        <v>90</v>
      </c>
      <c r="D21" s="66" t="s">
        <v>23</v>
      </c>
      <c r="E21" s="81" t="s">
        <v>62</v>
      </c>
      <c r="F21" s="71" t="s">
        <v>97</v>
      </c>
      <c r="G21" s="66">
        <v>5.87</v>
      </c>
      <c r="H21" s="66">
        <v>5.87</v>
      </c>
      <c r="I21" s="66" t="s">
        <v>26</v>
      </c>
      <c r="J21" s="66" t="s">
        <v>55</v>
      </c>
      <c r="K21" s="2">
        <f>+M21</f>
        <v>36179479644</v>
      </c>
      <c r="L21" s="41"/>
      <c r="M21" s="69">
        <v>36179479644</v>
      </c>
      <c r="N21" s="71" t="s">
        <v>98</v>
      </c>
      <c r="O21" s="71" t="s">
        <v>62</v>
      </c>
      <c r="P21" s="66">
        <v>2025</v>
      </c>
      <c r="Q21" s="66" t="s">
        <v>99</v>
      </c>
      <c r="R21" s="66"/>
      <c r="S21" s="66"/>
      <c r="T21" s="66">
        <v>0</v>
      </c>
      <c r="U21" s="71" t="s">
        <v>100</v>
      </c>
    </row>
    <row r="22" spans="1:21" ht="27.6">
      <c r="A22" s="93"/>
      <c r="B22" s="71"/>
      <c r="C22" s="66" t="s">
        <v>90</v>
      </c>
      <c r="D22" s="66" t="s">
        <v>23</v>
      </c>
      <c r="E22" s="81">
        <v>4600018883</v>
      </c>
      <c r="F22" s="71" t="s">
        <v>101</v>
      </c>
      <c r="G22" s="71" t="s">
        <v>102</v>
      </c>
      <c r="H22" s="71">
        <v>10</v>
      </c>
      <c r="I22" s="71" t="s">
        <v>26</v>
      </c>
      <c r="J22" s="71" t="s">
        <v>27</v>
      </c>
      <c r="K22" s="3">
        <f>+'Estabilización datos '!G8*10</f>
        <v>11470831834.380777</v>
      </c>
      <c r="L22" s="79">
        <v>0</v>
      </c>
      <c r="M22" s="2">
        <f>+K22</f>
        <v>11470831834.380777</v>
      </c>
      <c r="N22" s="71" t="s">
        <v>28</v>
      </c>
      <c r="O22" s="71" t="s">
        <v>96</v>
      </c>
      <c r="P22" s="66">
        <v>2025</v>
      </c>
      <c r="Q22" s="66" t="s">
        <v>30</v>
      </c>
      <c r="R22" s="85"/>
      <c r="S22" s="87"/>
      <c r="T22" s="80"/>
      <c r="U22" s="71" t="s">
        <v>103</v>
      </c>
    </row>
    <row r="23" spans="1:21" ht="33" customHeight="1">
      <c r="A23" s="93"/>
      <c r="B23" s="71" t="s">
        <v>89</v>
      </c>
      <c r="C23" s="66" t="s">
        <v>90</v>
      </c>
      <c r="D23" s="66" t="s">
        <v>42</v>
      </c>
      <c r="E23" s="81">
        <v>2024003050241</v>
      </c>
      <c r="F23" s="71" t="s">
        <v>104</v>
      </c>
      <c r="G23" s="66" t="s">
        <v>105</v>
      </c>
      <c r="H23" s="66">
        <v>2</v>
      </c>
      <c r="I23" s="66" t="s">
        <v>106</v>
      </c>
      <c r="J23" s="66" t="s">
        <v>55</v>
      </c>
      <c r="K23" s="69">
        <v>3385704746.4000001</v>
      </c>
      <c r="L23" s="69">
        <v>846426186.60000002</v>
      </c>
      <c r="M23" s="2">
        <v>4232130933</v>
      </c>
      <c r="N23" s="2" t="s">
        <v>37</v>
      </c>
      <c r="O23" s="2" t="s">
        <v>45</v>
      </c>
      <c r="P23" s="66">
        <v>2024</v>
      </c>
      <c r="Q23" s="66" t="s">
        <v>30</v>
      </c>
      <c r="R23" s="66"/>
      <c r="S23" s="66"/>
      <c r="T23" s="70">
        <v>0.18</v>
      </c>
      <c r="U23" s="71"/>
    </row>
    <row r="24" spans="1:21" ht="66" customHeight="1">
      <c r="A24" s="93">
        <v>6</v>
      </c>
      <c r="B24" s="71" t="s">
        <v>107</v>
      </c>
      <c r="C24" s="66" t="s">
        <v>83</v>
      </c>
      <c r="D24" s="66" t="s">
        <v>23</v>
      </c>
      <c r="E24" s="81" t="s">
        <v>108</v>
      </c>
      <c r="F24" s="71" t="s">
        <v>101</v>
      </c>
      <c r="G24" s="71" t="s">
        <v>109</v>
      </c>
      <c r="H24" s="71">
        <v>23.39</v>
      </c>
      <c r="I24" s="71" t="s">
        <v>26</v>
      </c>
      <c r="J24" s="71" t="s">
        <v>27</v>
      </c>
      <c r="K24" s="2">
        <f>1341963493*22.39</f>
        <v>30046562608.27</v>
      </c>
      <c r="L24" s="2">
        <v>0</v>
      </c>
      <c r="M24" s="2">
        <f>+K24</f>
        <v>30046562608.27</v>
      </c>
      <c r="N24" s="2" t="s">
        <v>28</v>
      </c>
      <c r="O24" s="2" t="s">
        <v>96</v>
      </c>
      <c r="P24" s="66">
        <v>2025</v>
      </c>
      <c r="Q24" s="66" t="s">
        <v>30</v>
      </c>
      <c r="R24" s="85"/>
      <c r="S24" s="87"/>
      <c r="T24" s="80"/>
      <c r="U24" s="71" t="s">
        <v>103</v>
      </c>
    </row>
    <row r="25" spans="1:21" ht="13.9">
      <c r="A25" s="93"/>
      <c r="B25" s="71" t="s">
        <v>107</v>
      </c>
      <c r="C25" s="66" t="s">
        <v>83</v>
      </c>
      <c r="D25" s="66" t="s">
        <v>42</v>
      </c>
      <c r="E25" s="81" t="s">
        <v>110</v>
      </c>
      <c r="F25" s="71" t="s">
        <v>80</v>
      </c>
      <c r="G25" s="66" t="s">
        <v>111</v>
      </c>
      <c r="H25" s="66">
        <v>1</v>
      </c>
      <c r="I25" s="66"/>
      <c r="J25" s="66"/>
      <c r="K25" s="2">
        <v>350000000</v>
      </c>
      <c r="L25" s="2">
        <v>487439836</v>
      </c>
      <c r="M25" s="69">
        <f>+K25+L25</f>
        <v>837439836</v>
      </c>
      <c r="N25" s="71" t="s">
        <v>73</v>
      </c>
      <c r="O25" s="71" t="s">
        <v>51</v>
      </c>
      <c r="P25" s="66">
        <v>2024</v>
      </c>
      <c r="Q25" s="66" t="s">
        <v>38</v>
      </c>
      <c r="R25" s="66"/>
      <c r="S25" s="66"/>
      <c r="T25" s="70">
        <v>1</v>
      </c>
      <c r="U25" s="66" t="s">
        <v>74</v>
      </c>
    </row>
    <row r="26" spans="1:21" ht="70.150000000000006" customHeight="1">
      <c r="A26" s="93"/>
      <c r="B26" s="71" t="s">
        <v>107</v>
      </c>
      <c r="C26" s="66" t="s">
        <v>83</v>
      </c>
      <c r="D26" s="66" t="s">
        <v>23</v>
      </c>
      <c r="E26" s="81">
        <v>4600017302</v>
      </c>
      <c r="F26" s="71" t="s">
        <v>112</v>
      </c>
      <c r="G26" s="66" t="s">
        <v>113</v>
      </c>
      <c r="H26" s="66">
        <v>9.1999999999999993</v>
      </c>
      <c r="I26" s="66"/>
      <c r="J26" s="66"/>
      <c r="K26" s="2">
        <v>149755110</v>
      </c>
      <c r="L26" s="2">
        <v>321685399</v>
      </c>
      <c r="M26" s="2">
        <f>+K26+L26</f>
        <v>471440509</v>
      </c>
      <c r="N26" s="71" t="s">
        <v>28</v>
      </c>
      <c r="O26" s="71" t="s">
        <v>114</v>
      </c>
      <c r="P26" s="66">
        <v>2024</v>
      </c>
      <c r="Q26" s="66" t="s">
        <v>52</v>
      </c>
      <c r="R26" s="66"/>
      <c r="S26" s="66"/>
      <c r="T26" s="70">
        <v>1</v>
      </c>
      <c r="U26" s="66" t="s">
        <v>115</v>
      </c>
    </row>
    <row r="27" spans="1:21" ht="61.15" customHeight="1">
      <c r="A27" s="93"/>
      <c r="B27" s="71" t="s">
        <v>107</v>
      </c>
      <c r="C27" s="66" t="s">
        <v>83</v>
      </c>
      <c r="D27" s="66" t="s">
        <v>23</v>
      </c>
      <c r="E27" s="81" t="s">
        <v>116</v>
      </c>
      <c r="F27" s="71" t="s">
        <v>117</v>
      </c>
      <c r="G27" s="66" t="s">
        <v>113</v>
      </c>
      <c r="H27" s="66">
        <v>9.1999999999999993</v>
      </c>
      <c r="I27" s="66" t="s">
        <v>26</v>
      </c>
      <c r="J27" s="66" t="s">
        <v>55</v>
      </c>
      <c r="K27" s="2">
        <v>22480950715</v>
      </c>
      <c r="L27" s="69">
        <v>0</v>
      </c>
      <c r="M27" s="2">
        <f>+K27</f>
        <v>22480950715</v>
      </c>
      <c r="N27" s="2" t="s">
        <v>37</v>
      </c>
      <c r="O27" s="71" t="s">
        <v>96</v>
      </c>
      <c r="P27" s="66">
        <v>2025</v>
      </c>
      <c r="Q27" s="66" t="s">
        <v>99</v>
      </c>
      <c r="R27" s="66"/>
      <c r="S27" s="66"/>
      <c r="T27" s="80"/>
      <c r="U27" s="71" t="s">
        <v>118</v>
      </c>
    </row>
    <row r="28" spans="1:21" ht="13.9" hidden="1">
      <c r="A28" s="93"/>
      <c r="B28" s="71" t="s">
        <v>107</v>
      </c>
      <c r="C28" s="66" t="s">
        <v>83</v>
      </c>
      <c r="D28" s="66" t="s">
        <v>119</v>
      </c>
      <c r="E28" s="81">
        <v>4600014774</v>
      </c>
      <c r="F28" s="71" t="s">
        <v>120</v>
      </c>
      <c r="G28" s="66" t="s">
        <v>121</v>
      </c>
      <c r="H28" s="66"/>
      <c r="I28" s="66"/>
      <c r="J28" s="66"/>
      <c r="K28" s="2">
        <v>4500000000</v>
      </c>
      <c r="L28" s="69">
        <f>+M28-K28</f>
        <v>1316681148</v>
      </c>
      <c r="M28" s="2">
        <v>5816681148</v>
      </c>
      <c r="N28" s="71" t="s">
        <v>28</v>
      </c>
      <c r="O28" s="71" t="s">
        <v>51</v>
      </c>
      <c r="P28" s="66">
        <v>2022</v>
      </c>
      <c r="Q28" s="66" t="s">
        <v>52</v>
      </c>
      <c r="R28" s="66"/>
      <c r="S28" s="66"/>
      <c r="T28" s="70">
        <v>1</v>
      </c>
      <c r="U28" s="71" t="s">
        <v>69</v>
      </c>
    </row>
    <row r="29" spans="1:21" ht="81.599999999999994" customHeight="1">
      <c r="A29" s="93"/>
      <c r="B29" s="71" t="s">
        <v>107</v>
      </c>
      <c r="C29" s="66" t="s">
        <v>83</v>
      </c>
      <c r="D29" s="66" t="s">
        <v>42</v>
      </c>
      <c r="E29" s="81" t="s">
        <v>122</v>
      </c>
      <c r="F29" s="71" t="s">
        <v>123</v>
      </c>
      <c r="G29" s="66" t="s">
        <v>124</v>
      </c>
      <c r="H29" s="66">
        <v>0.25</v>
      </c>
      <c r="I29" s="66"/>
      <c r="J29" s="66"/>
      <c r="K29" s="2">
        <v>496038085</v>
      </c>
      <c r="L29" s="69">
        <v>0</v>
      </c>
      <c r="M29" s="2">
        <f>1984152341/4</f>
        <v>496038085.25</v>
      </c>
      <c r="N29" s="71" t="s">
        <v>28</v>
      </c>
      <c r="O29" s="71" t="s">
        <v>51</v>
      </c>
      <c r="P29" s="66">
        <v>2025</v>
      </c>
      <c r="Q29" s="66" t="s">
        <v>125</v>
      </c>
      <c r="R29" s="66"/>
      <c r="S29" s="66"/>
      <c r="T29" s="70">
        <v>1</v>
      </c>
      <c r="U29" s="71" t="s">
        <v>126</v>
      </c>
    </row>
    <row r="30" spans="1:21" ht="40.9" customHeight="1">
      <c r="A30" s="93"/>
      <c r="B30" s="71" t="s">
        <v>107</v>
      </c>
      <c r="C30" s="66" t="s">
        <v>83</v>
      </c>
      <c r="D30" s="66" t="s">
        <v>119</v>
      </c>
      <c r="E30" s="81" t="s">
        <v>62</v>
      </c>
      <c r="F30" s="71" t="s">
        <v>127</v>
      </c>
      <c r="G30" s="71" t="s">
        <v>128</v>
      </c>
      <c r="H30" s="71"/>
      <c r="I30" s="71"/>
      <c r="J30" s="71"/>
      <c r="K30" s="2">
        <v>100000000</v>
      </c>
      <c r="L30" s="2">
        <v>50000000</v>
      </c>
      <c r="M30" s="42">
        <f>+K30+L30</f>
        <v>150000000</v>
      </c>
      <c r="N30" s="71" t="s">
        <v>28</v>
      </c>
      <c r="O30" s="71" t="s">
        <v>51</v>
      </c>
      <c r="P30" s="66">
        <v>2025</v>
      </c>
      <c r="Q30" s="66" t="s">
        <v>129</v>
      </c>
      <c r="R30" s="66"/>
      <c r="S30" s="66"/>
      <c r="T30" s="70"/>
      <c r="U30" s="71" t="s">
        <v>130</v>
      </c>
    </row>
    <row r="31" spans="1:21" ht="40.9" customHeight="1">
      <c r="A31" s="93"/>
      <c r="B31" s="71" t="s">
        <v>107</v>
      </c>
      <c r="C31" s="66" t="s">
        <v>83</v>
      </c>
      <c r="D31" s="66" t="s">
        <v>131</v>
      </c>
      <c r="E31" s="81">
        <v>4600017793</v>
      </c>
      <c r="F31" s="71" t="s">
        <v>132</v>
      </c>
      <c r="G31" s="71" t="s">
        <v>133</v>
      </c>
      <c r="H31" s="71">
        <v>21.57</v>
      </c>
      <c r="I31" s="71" t="s">
        <v>26</v>
      </c>
      <c r="J31" s="71" t="s">
        <v>134</v>
      </c>
      <c r="K31" s="2">
        <v>17166424376</v>
      </c>
      <c r="L31" s="69">
        <v>0</v>
      </c>
      <c r="M31" s="42">
        <f>+K31</f>
        <v>17166424376</v>
      </c>
      <c r="N31" s="71" t="s">
        <v>28</v>
      </c>
      <c r="O31" s="71" t="s">
        <v>135</v>
      </c>
      <c r="P31" s="66">
        <v>2024</v>
      </c>
      <c r="Q31" s="66" t="s">
        <v>30</v>
      </c>
      <c r="R31" s="66"/>
      <c r="S31" s="66"/>
      <c r="T31" s="70"/>
      <c r="U31" s="71" t="s">
        <v>136</v>
      </c>
    </row>
    <row r="32" spans="1:21" ht="40.9" customHeight="1">
      <c r="A32" s="93"/>
      <c r="B32" s="71" t="s">
        <v>107</v>
      </c>
      <c r="C32" s="66" t="s">
        <v>83</v>
      </c>
      <c r="D32" s="66" t="s">
        <v>131</v>
      </c>
      <c r="E32" s="81">
        <v>4600017793</v>
      </c>
      <c r="F32" s="71" t="s">
        <v>137</v>
      </c>
      <c r="G32" s="71" t="s">
        <v>138</v>
      </c>
      <c r="H32" s="71">
        <v>2.66</v>
      </c>
      <c r="I32" s="71" t="s">
        <v>26</v>
      </c>
      <c r="J32" s="71" t="s">
        <v>134</v>
      </c>
      <c r="K32" s="2">
        <v>17166424376</v>
      </c>
      <c r="L32" s="69">
        <v>0</v>
      </c>
      <c r="M32" s="42">
        <f>+K32</f>
        <v>17166424376</v>
      </c>
      <c r="N32" s="71" t="s">
        <v>28</v>
      </c>
      <c r="O32" s="71" t="s">
        <v>135</v>
      </c>
      <c r="P32" s="66">
        <v>2024</v>
      </c>
      <c r="Q32" s="66" t="s">
        <v>30</v>
      </c>
      <c r="R32" s="66"/>
      <c r="S32" s="66"/>
      <c r="T32" s="70">
        <v>0.87</v>
      </c>
      <c r="U32" s="71" t="s">
        <v>136</v>
      </c>
    </row>
    <row r="33" spans="1:21" ht="40.9" customHeight="1">
      <c r="A33" s="93"/>
      <c r="B33" s="71" t="s">
        <v>107</v>
      </c>
      <c r="C33" s="66" t="s">
        <v>83</v>
      </c>
      <c r="D33" s="66" t="s">
        <v>42</v>
      </c>
      <c r="E33" s="81" t="s">
        <v>139</v>
      </c>
      <c r="F33" s="71" t="s">
        <v>140</v>
      </c>
      <c r="G33" s="71" t="s">
        <v>141</v>
      </c>
      <c r="H33" s="71">
        <v>0.2</v>
      </c>
      <c r="I33" s="71"/>
      <c r="J33" s="71"/>
      <c r="K33" s="43">
        <v>223022690</v>
      </c>
      <c r="L33" s="43">
        <v>24056079</v>
      </c>
      <c r="M33" s="26">
        <f>+K33+L33</f>
        <v>247078769</v>
      </c>
      <c r="N33" s="71" t="s">
        <v>142</v>
      </c>
      <c r="O33" s="71" t="s">
        <v>51</v>
      </c>
      <c r="P33" s="66">
        <v>2025</v>
      </c>
      <c r="Q33" s="66" t="s">
        <v>52</v>
      </c>
      <c r="R33" s="66"/>
      <c r="S33" s="66"/>
      <c r="T33" s="70">
        <v>1</v>
      </c>
      <c r="U33" s="71" t="s">
        <v>74</v>
      </c>
    </row>
    <row r="34" spans="1:21" ht="40.9" customHeight="1">
      <c r="A34" s="93"/>
      <c r="B34" s="71" t="s">
        <v>107</v>
      </c>
      <c r="C34" s="66" t="s">
        <v>83</v>
      </c>
      <c r="D34" s="66" t="s">
        <v>42</v>
      </c>
      <c r="E34" s="81">
        <v>2024003050237</v>
      </c>
      <c r="F34" s="71" t="s">
        <v>143</v>
      </c>
      <c r="G34" s="71" t="s">
        <v>144</v>
      </c>
      <c r="H34" s="71">
        <v>6</v>
      </c>
      <c r="I34" s="71" t="s">
        <v>88</v>
      </c>
      <c r="J34" s="71" t="s">
        <v>55</v>
      </c>
      <c r="K34" s="2">
        <v>9359210977</v>
      </c>
      <c r="L34" s="69">
        <v>2311092391</v>
      </c>
      <c r="M34" s="2">
        <f>+K34+L34</f>
        <v>11670303368</v>
      </c>
      <c r="N34" s="2" t="s">
        <v>37</v>
      </c>
      <c r="O34" s="2" t="s">
        <v>45</v>
      </c>
      <c r="P34" s="66">
        <v>2025</v>
      </c>
      <c r="Q34" s="66" t="s">
        <v>115</v>
      </c>
      <c r="R34" s="66"/>
      <c r="S34" s="66"/>
      <c r="T34" s="70">
        <v>1</v>
      </c>
      <c r="U34" s="71" t="s">
        <v>74</v>
      </c>
    </row>
    <row r="35" spans="1:21" ht="13.9" hidden="1">
      <c r="A35" s="104"/>
      <c r="B35" s="71" t="s">
        <v>145</v>
      </c>
      <c r="C35" s="66" t="s">
        <v>83</v>
      </c>
      <c r="D35" s="66" t="s">
        <v>23</v>
      </c>
      <c r="E35" s="81"/>
      <c r="F35" s="71" t="s">
        <v>84</v>
      </c>
      <c r="G35" s="66" t="s">
        <v>47</v>
      </c>
      <c r="H35" s="66" t="s">
        <v>47</v>
      </c>
      <c r="I35" s="66"/>
      <c r="J35" s="66"/>
      <c r="K35" s="69"/>
      <c r="L35" s="69"/>
      <c r="M35" s="2"/>
      <c r="N35" s="2"/>
      <c r="O35" s="2"/>
      <c r="P35" s="66"/>
      <c r="Q35" s="66"/>
      <c r="R35" s="66"/>
      <c r="S35" s="66"/>
      <c r="T35" s="1"/>
      <c r="U35" s="71"/>
    </row>
    <row r="36" spans="1:21" ht="40.9" customHeight="1">
      <c r="A36" s="100"/>
      <c r="B36" s="71" t="s">
        <v>145</v>
      </c>
      <c r="C36" s="66" t="s">
        <v>83</v>
      </c>
      <c r="D36" s="66" t="s">
        <v>42</v>
      </c>
      <c r="E36" s="81" t="s">
        <v>146</v>
      </c>
      <c r="F36" s="71" t="s">
        <v>80</v>
      </c>
      <c r="G36" s="66" t="s">
        <v>76</v>
      </c>
      <c r="H36" s="66">
        <v>1</v>
      </c>
      <c r="I36" s="66"/>
      <c r="J36" s="66"/>
      <c r="K36" s="69">
        <v>264662480</v>
      </c>
      <c r="L36" s="69">
        <v>364897398</v>
      </c>
      <c r="M36" s="2">
        <v>830315725</v>
      </c>
      <c r="N36" s="71" t="s">
        <v>147</v>
      </c>
      <c r="O36" s="71" t="s">
        <v>51</v>
      </c>
      <c r="P36" s="66">
        <v>2024</v>
      </c>
      <c r="Q36" s="66" t="s">
        <v>52</v>
      </c>
      <c r="R36" s="66"/>
      <c r="S36" s="66"/>
      <c r="T36" s="70">
        <v>1</v>
      </c>
      <c r="U36" s="66"/>
    </row>
    <row r="37" spans="1:21" ht="72.599999999999994" customHeight="1">
      <c r="A37" s="66"/>
      <c r="B37" s="71" t="s">
        <v>148</v>
      </c>
      <c r="C37" s="66" t="s">
        <v>149</v>
      </c>
      <c r="D37" s="66" t="s">
        <v>23</v>
      </c>
      <c r="E37" s="81" t="s">
        <v>150</v>
      </c>
      <c r="F37" s="71" t="s">
        <v>151</v>
      </c>
      <c r="G37" s="71" t="s">
        <v>152</v>
      </c>
      <c r="H37" s="71">
        <v>2</v>
      </c>
      <c r="I37" s="71" t="s">
        <v>26</v>
      </c>
      <c r="J37" s="71" t="s">
        <v>55</v>
      </c>
      <c r="K37" s="79">
        <v>7842065818</v>
      </c>
      <c r="L37" s="79">
        <v>0</v>
      </c>
      <c r="M37" s="2">
        <v>7842065818</v>
      </c>
      <c r="N37" s="79" t="s">
        <v>28</v>
      </c>
      <c r="O37" s="71" t="s">
        <v>96</v>
      </c>
      <c r="P37" s="66">
        <v>2024</v>
      </c>
      <c r="Q37" s="66" t="s">
        <v>52</v>
      </c>
      <c r="R37" s="66"/>
      <c r="S37" s="66"/>
      <c r="T37" s="70">
        <v>1</v>
      </c>
      <c r="U37" s="66" t="s">
        <v>69</v>
      </c>
    </row>
    <row r="38" spans="1:21" ht="40.9" customHeight="1">
      <c r="A38" s="93">
        <v>8</v>
      </c>
      <c r="B38" s="71" t="s">
        <v>148</v>
      </c>
      <c r="C38" s="66" t="s">
        <v>149</v>
      </c>
      <c r="D38" s="66" t="s">
        <v>23</v>
      </c>
      <c r="E38" s="81">
        <v>46000018883</v>
      </c>
      <c r="F38" s="71" t="s">
        <v>101</v>
      </c>
      <c r="G38" s="71" t="s">
        <v>153</v>
      </c>
      <c r="H38" s="71">
        <v>13.62</v>
      </c>
      <c r="I38" s="71" t="s">
        <v>26</v>
      </c>
      <c r="J38" s="71" t="s">
        <v>27</v>
      </c>
      <c r="K38" s="79">
        <f>1341407247*13.62</f>
        <v>18269966704.139999</v>
      </c>
      <c r="L38" s="79">
        <v>0</v>
      </c>
      <c r="M38" s="2">
        <f>+K38</f>
        <v>18269966704.139999</v>
      </c>
      <c r="N38" s="79" t="s">
        <v>28</v>
      </c>
      <c r="O38" s="71" t="s">
        <v>96</v>
      </c>
      <c r="P38" s="66">
        <v>2025</v>
      </c>
      <c r="Q38" s="66" t="s">
        <v>30</v>
      </c>
      <c r="R38" s="85"/>
      <c r="S38" s="87"/>
      <c r="T38" s="80"/>
      <c r="U38" s="66" t="s">
        <v>154</v>
      </c>
    </row>
    <row r="39" spans="1:21" ht="40.9" customHeight="1">
      <c r="A39" s="93"/>
      <c r="B39" s="71" t="s">
        <v>148</v>
      </c>
      <c r="C39" s="66" t="s">
        <v>149</v>
      </c>
      <c r="D39" s="66" t="s">
        <v>42</v>
      </c>
      <c r="E39" s="81">
        <v>2025003050057</v>
      </c>
      <c r="F39" s="71" t="s">
        <v>155</v>
      </c>
      <c r="G39" s="71" t="s">
        <v>77</v>
      </c>
      <c r="H39" s="71">
        <v>1</v>
      </c>
      <c r="I39" s="71" t="s">
        <v>88</v>
      </c>
      <c r="J39" s="71" t="s">
        <v>55</v>
      </c>
      <c r="K39" s="79">
        <v>2205897938</v>
      </c>
      <c r="L39" s="79">
        <v>0</v>
      </c>
      <c r="M39" s="79">
        <f>+K39</f>
        <v>2205897938</v>
      </c>
      <c r="N39" s="2" t="s">
        <v>37</v>
      </c>
      <c r="O39" s="71" t="s">
        <v>78</v>
      </c>
      <c r="P39" s="66">
        <v>2025</v>
      </c>
      <c r="Q39" s="66" t="s">
        <v>99</v>
      </c>
      <c r="R39" s="66"/>
      <c r="S39" s="66"/>
      <c r="T39" s="80">
        <v>0</v>
      </c>
      <c r="U39" s="71" t="s">
        <v>156</v>
      </c>
    </row>
    <row r="40" spans="1:21" ht="40.9" customHeight="1">
      <c r="A40" s="93"/>
      <c r="B40" s="71" t="s">
        <v>148</v>
      </c>
      <c r="C40" s="66" t="s">
        <v>149</v>
      </c>
      <c r="D40" s="66" t="s">
        <v>42</v>
      </c>
      <c r="E40" s="81" t="s">
        <v>146</v>
      </c>
      <c r="F40" s="71" t="s">
        <v>80</v>
      </c>
      <c r="G40" s="66" t="s">
        <v>76</v>
      </c>
      <c r="H40" s="66">
        <v>1</v>
      </c>
      <c r="I40" s="66" t="s">
        <v>88</v>
      </c>
      <c r="J40" s="66"/>
      <c r="K40" s="69">
        <v>265194900</v>
      </c>
      <c r="L40" s="69">
        <v>463744518</v>
      </c>
      <c r="M40" s="69">
        <v>913939418</v>
      </c>
      <c r="N40" s="79" t="s">
        <v>147</v>
      </c>
      <c r="O40" s="71" t="s">
        <v>51</v>
      </c>
      <c r="P40" s="66">
        <v>2024</v>
      </c>
      <c r="Q40" s="66" t="s">
        <v>52</v>
      </c>
      <c r="R40" s="66"/>
      <c r="S40" s="66"/>
      <c r="T40" s="70">
        <v>1</v>
      </c>
      <c r="U40" s="66" t="s">
        <v>157</v>
      </c>
    </row>
    <row r="41" spans="1:21" ht="61.15" customHeight="1">
      <c r="A41" s="93">
        <v>9</v>
      </c>
      <c r="B41" s="71" t="s">
        <v>158</v>
      </c>
      <c r="C41" s="66" t="s">
        <v>90</v>
      </c>
      <c r="D41" s="66" t="s">
        <v>42</v>
      </c>
      <c r="E41" s="81">
        <v>2025003050028</v>
      </c>
      <c r="F41" s="71" t="s">
        <v>159</v>
      </c>
      <c r="G41" s="66" t="s">
        <v>105</v>
      </c>
      <c r="H41" s="66">
        <v>2</v>
      </c>
      <c r="I41" s="66" t="s">
        <v>106</v>
      </c>
      <c r="J41" s="66" t="s">
        <v>55</v>
      </c>
      <c r="K41" s="69">
        <v>3730904684</v>
      </c>
      <c r="L41" s="69">
        <v>932726171</v>
      </c>
      <c r="M41" s="69">
        <f>+K41+L41</f>
        <v>4663630855</v>
      </c>
      <c r="N41" s="2" t="s">
        <v>37</v>
      </c>
      <c r="O41" s="2" t="s">
        <v>45</v>
      </c>
      <c r="P41" s="66">
        <v>2025</v>
      </c>
      <c r="Q41" s="66" t="s">
        <v>30</v>
      </c>
      <c r="R41" s="66"/>
      <c r="S41" s="66"/>
      <c r="T41" s="70">
        <v>0.78</v>
      </c>
      <c r="U41" s="71"/>
    </row>
    <row r="42" spans="1:21" ht="61.15" customHeight="1">
      <c r="A42" s="93"/>
      <c r="B42" s="71" t="s">
        <v>158</v>
      </c>
      <c r="C42" s="66" t="s">
        <v>90</v>
      </c>
      <c r="D42" s="66"/>
      <c r="E42" s="81"/>
      <c r="F42" s="71" t="s">
        <v>160</v>
      </c>
      <c r="G42" s="66" t="s">
        <v>161</v>
      </c>
      <c r="H42" s="66">
        <v>13</v>
      </c>
      <c r="I42" s="66"/>
      <c r="J42" s="66"/>
      <c r="K42" s="69" t="s">
        <v>162</v>
      </c>
      <c r="L42" s="69" t="s">
        <v>162</v>
      </c>
      <c r="M42" s="69" t="s">
        <v>162</v>
      </c>
      <c r="N42" s="71" t="s">
        <v>98</v>
      </c>
      <c r="O42" s="71" t="s">
        <v>62</v>
      </c>
      <c r="P42" s="66">
        <v>2025</v>
      </c>
      <c r="Q42" s="66" t="s">
        <v>30</v>
      </c>
      <c r="R42" s="66"/>
      <c r="S42" s="66"/>
      <c r="T42" s="70"/>
      <c r="U42" s="71" t="s">
        <v>163</v>
      </c>
    </row>
    <row r="43" spans="1:21" ht="102" customHeight="1">
      <c r="A43" s="93"/>
      <c r="B43" s="71" t="s">
        <v>158</v>
      </c>
      <c r="C43" s="66" t="s">
        <v>90</v>
      </c>
      <c r="D43" s="66" t="s">
        <v>23</v>
      </c>
      <c r="E43" s="81"/>
      <c r="F43" s="71" t="s">
        <v>164</v>
      </c>
      <c r="G43" s="66" t="s">
        <v>165</v>
      </c>
      <c r="H43" s="66">
        <v>4</v>
      </c>
      <c r="I43" s="66"/>
      <c r="J43" s="66"/>
      <c r="K43" s="2" t="s">
        <v>162</v>
      </c>
      <c r="L43" s="69" t="s">
        <v>162</v>
      </c>
      <c r="M43" s="69">
        <v>19274864053</v>
      </c>
      <c r="N43" s="71" t="s">
        <v>98</v>
      </c>
      <c r="O43" s="71" t="s">
        <v>62</v>
      </c>
      <c r="P43" s="66">
        <v>2024</v>
      </c>
      <c r="Q43" s="66" t="s">
        <v>99</v>
      </c>
      <c r="R43" s="66"/>
      <c r="S43" s="66"/>
      <c r="T43" s="70"/>
      <c r="U43" s="71" t="s">
        <v>166</v>
      </c>
    </row>
    <row r="44" spans="1:21" ht="102" hidden="1" customHeight="1">
      <c r="A44" s="93"/>
      <c r="B44" s="71" t="s">
        <v>158</v>
      </c>
      <c r="C44" s="66"/>
      <c r="D44" s="66"/>
      <c r="E44" s="81"/>
      <c r="F44" s="71" t="s">
        <v>167</v>
      </c>
      <c r="G44" s="66" t="s">
        <v>168</v>
      </c>
      <c r="H44" s="66">
        <v>2</v>
      </c>
      <c r="I44" s="66"/>
      <c r="J44" s="66"/>
      <c r="K44" s="2">
        <v>8333557271</v>
      </c>
      <c r="L44" s="69">
        <v>0</v>
      </c>
      <c r="M44" s="69">
        <f>+K44</f>
        <v>8333557271</v>
      </c>
      <c r="N44" s="71" t="s">
        <v>98</v>
      </c>
      <c r="O44" s="71" t="s">
        <v>62</v>
      </c>
      <c r="P44" s="66">
        <v>2026</v>
      </c>
      <c r="Q44" s="66" t="s">
        <v>169</v>
      </c>
      <c r="R44" s="66"/>
      <c r="S44" s="66"/>
      <c r="T44" s="70"/>
      <c r="U44" s="71" t="s">
        <v>170</v>
      </c>
    </row>
    <row r="45" spans="1:21" ht="27.6">
      <c r="A45" s="93"/>
      <c r="B45" s="71" t="s">
        <v>158</v>
      </c>
      <c r="C45" s="66" t="s">
        <v>90</v>
      </c>
      <c r="D45" s="66" t="s">
        <v>42</v>
      </c>
      <c r="E45" s="81" t="s">
        <v>171</v>
      </c>
      <c r="F45" s="71" t="s">
        <v>172</v>
      </c>
      <c r="G45" s="66" t="s">
        <v>76</v>
      </c>
      <c r="H45" s="66">
        <v>1</v>
      </c>
      <c r="I45" s="66"/>
      <c r="J45" s="66"/>
      <c r="K45" s="69">
        <v>349983373</v>
      </c>
      <c r="L45" s="69">
        <v>471746826</v>
      </c>
      <c r="M45" s="69">
        <f>+K45+L45</f>
        <v>821730199</v>
      </c>
      <c r="N45" s="66" t="s">
        <v>73</v>
      </c>
      <c r="O45" s="66" t="s">
        <v>51</v>
      </c>
      <c r="P45" s="66">
        <v>2024</v>
      </c>
      <c r="Q45" s="66" t="s">
        <v>52</v>
      </c>
      <c r="R45" s="66"/>
      <c r="S45" s="66"/>
      <c r="T45" s="70">
        <v>1</v>
      </c>
      <c r="U45" s="66" t="s">
        <v>69</v>
      </c>
    </row>
    <row r="46" spans="1:21" ht="40.9" customHeight="1">
      <c r="A46" s="93">
        <v>10</v>
      </c>
      <c r="B46" s="71" t="s">
        <v>173</v>
      </c>
      <c r="C46" s="66" t="s">
        <v>41</v>
      </c>
      <c r="D46" s="66" t="s">
        <v>174</v>
      </c>
      <c r="E46" s="81" t="s">
        <v>62</v>
      </c>
      <c r="F46" s="71" t="s">
        <v>175</v>
      </c>
      <c r="G46" s="71" t="s">
        <v>176</v>
      </c>
      <c r="H46" s="71"/>
      <c r="I46" s="71"/>
      <c r="J46" s="71"/>
      <c r="K46" s="79">
        <v>690112000</v>
      </c>
      <c r="L46" s="79">
        <v>0</v>
      </c>
      <c r="M46" s="69">
        <f>+K46</f>
        <v>690112000</v>
      </c>
      <c r="N46" s="71" t="s">
        <v>37</v>
      </c>
      <c r="O46" s="71" t="s">
        <v>29</v>
      </c>
      <c r="P46" s="66">
        <v>2026</v>
      </c>
      <c r="Q46" s="66" t="s">
        <v>177</v>
      </c>
      <c r="R46" s="66"/>
      <c r="S46" s="66"/>
      <c r="T46" s="70">
        <v>0</v>
      </c>
      <c r="U46" s="71" t="s">
        <v>178</v>
      </c>
    </row>
    <row r="47" spans="1:21" ht="13.9">
      <c r="A47" s="99"/>
      <c r="B47" s="71" t="s">
        <v>173</v>
      </c>
      <c r="C47" s="66" t="s">
        <v>41</v>
      </c>
      <c r="D47" s="66" t="s">
        <v>42</v>
      </c>
      <c r="E47" s="81" t="s">
        <v>179</v>
      </c>
      <c r="F47" s="71" t="s">
        <v>80</v>
      </c>
      <c r="G47" s="66" t="s">
        <v>76</v>
      </c>
      <c r="H47" s="66">
        <v>1</v>
      </c>
      <c r="I47" s="66"/>
      <c r="J47" s="66"/>
      <c r="K47" s="2">
        <v>350000000</v>
      </c>
      <c r="L47" s="69">
        <v>394188839</v>
      </c>
      <c r="M47" s="69">
        <f>+K47+L47</f>
        <v>744188839</v>
      </c>
      <c r="N47" s="71" t="s">
        <v>73</v>
      </c>
      <c r="O47" s="71" t="s">
        <v>51</v>
      </c>
      <c r="P47" s="66">
        <v>2024</v>
      </c>
      <c r="Q47" s="66" t="s">
        <v>30</v>
      </c>
      <c r="R47" s="66"/>
      <c r="S47" s="66"/>
      <c r="T47" s="80">
        <v>0.9</v>
      </c>
      <c r="U47" s="71"/>
    </row>
    <row r="48" spans="1:21" ht="13.9" hidden="1">
      <c r="A48" s="93"/>
      <c r="B48" s="71" t="s">
        <v>180</v>
      </c>
      <c r="C48" s="66" t="s">
        <v>181</v>
      </c>
      <c r="D48" s="66" t="s">
        <v>42</v>
      </c>
      <c r="E48" s="81"/>
      <c r="F48" s="71" t="s">
        <v>182</v>
      </c>
      <c r="G48" s="66" t="s">
        <v>76</v>
      </c>
      <c r="H48" s="66">
        <v>1</v>
      </c>
      <c r="I48" s="66"/>
      <c r="J48" s="66"/>
      <c r="K48" s="69"/>
      <c r="L48" s="69"/>
      <c r="M48" s="2"/>
      <c r="N48" s="71"/>
      <c r="O48" s="71"/>
      <c r="P48" s="66"/>
      <c r="Q48" s="66"/>
      <c r="R48" s="66"/>
      <c r="S48" s="66"/>
      <c r="T48" s="80"/>
      <c r="U48" s="71"/>
    </row>
    <row r="49" spans="1:21" ht="13.9" hidden="1">
      <c r="A49" s="93"/>
      <c r="B49" s="71" t="s">
        <v>180</v>
      </c>
      <c r="C49" s="66" t="s">
        <v>181</v>
      </c>
      <c r="D49" s="66" t="s">
        <v>42</v>
      </c>
      <c r="E49" s="81"/>
      <c r="F49" s="71" t="s">
        <v>183</v>
      </c>
      <c r="G49" s="66" t="s">
        <v>77</v>
      </c>
      <c r="H49" s="66">
        <v>1</v>
      </c>
      <c r="I49" s="66"/>
      <c r="J49" s="66"/>
      <c r="K49" s="69"/>
      <c r="L49" s="69"/>
      <c r="M49" s="2"/>
      <c r="N49" s="71"/>
      <c r="O49" s="71"/>
      <c r="P49" s="66"/>
      <c r="Q49" s="66" t="s">
        <v>30</v>
      </c>
      <c r="R49" s="66"/>
      <c r="S49" s="66"/>
      <c r="T49" s="80"/>
      <c r="U49" s="71" t="s">
        <v>184</v>
      </c>
    </row>
    <row r="50" spans="1:21" ht="13.9" hidden="1">
      <c r="A50" s="93"/>
      <c r="B50" s="71" t="s">
        <v>180</v>
      </c>
      <c r="C50" s="66" t="s">
        <v>181</v>
      </c>
      <c r="D50" s="66" t="s">
        <v>119</v>
      </c>
      <c r="E50" s="81">
        <v>2022050450076</v>
      </c>
      <c r="F50" s="71" t="s">
        <v>185</v>
      </c>
      <c r="G50" s="66" t="s">
        <v>186</v>
      </c>
      <c r="H50" s="66"/>
      <c r="I50" s="66"/>
      <c r="J50" s="66"/>
      <c r="K50" s="69">
        <v>7000000000</v>
      </c>
      <c r="L50" s="69">
        <v>2557154473</v>
      </c>
      <c r="M50" s="2">
        <f>+K50+L50</f>
        <v>9557154473</v>
      </c>
      <c r="N50" s="71" t="s">
        <v>37</v>
      </c>
      <c r="O50" s="71" t="s">
        <v>187</v>
      </c>
      <c r="P50" s="66">
        <v>2022</v>
      </c>
      <c r="Q50" s="66" t="s">
        <v>30</v>
      </c>
      <c r="R50" s="66"/>
      <c r="S50" s="66"/>
      <c r="T50" s="80">
        <v>0.88390000000000002</v>
      </c>
      <c r="U50" s="71" t="s">
        <v>30</v>
      </c>
    </row>
    <row r="51" spans="1:21" ht="55.15" hidden="1">
      <c r="A51" s="93"/>
      <c r="B51" s="71" t="s">
        <v>180</v>
      </c>
      <c r="C51" s="66" t="s">
        <v>181</v>
      </c>
      <c r="D51" s="66" t="s">
        <v>119</v>
      </c>
      <c r="E51" s="81">
        <v>2022050450076</v>
      </c>
      <c r="F51" s="71" t="s">
        <v>188</v>
      </c>
      <c r="G51" s="66" t="s">
        <v>189</v>
      </c>
      <c r="H51" s="66">
        <v>2.0499999999999998</v>
      </c>
      <c r="I51" s="66"/>
      <c r="J51" s="66"/>
      <c r="K51" s="69">
        <v>6000000000</v>
      </c>
      <c r="L51" s="69">
        <v>11998323605</v>
      </c>
      <c r="M51" s="2">
        <f>+K51+L51</f>
        <v>17998323605</v>
      </c>
      <c r="N51" s="71" t="s">
        <v>37</v>
      </c>
      <c r="O51" s="71"/>
      <c r="P51" s="66">
        <v>2021</v>
      </c>
      <c r="Q51" s="66" t="s">
        <v>30</v>
      </c>
      <c r="R51" s="66"/>
      <c r="S51" s="66"/>
      <c r="T51" s="80">
        <v>0.99199999999999999</v>
      </c>
      <c r="U51" s="71" t="s">
        <v>30</v>
      </c>
    </row>
    <row r="52" spans="1:21" ht="41.45" hidden="1">
      <c r="A52" s="93"/>
      <c r="B52" s="71" t="s">
        <v>180</v>
      </c>
      <c r="C52" s="66" t="s">
        <v>181</v>
      </c>
      <c r="D52" s="66" t="s">
        <v>42</v>
      </c>
      <c r="E52" s="81">
        <v>2018000040043</v>
      </c>
      <c r="F52" s="71" t="s">
        <v>190</v>
      </c>
      <c r="G52" s="66" t="s">
        <v>191</v>
      </c>
      <c r="H52" s="66">
        <v>16.61</v>
      </c>
      <c r="I52" s="66"/>
      <c r="J52" s="66"/>
      <c r="K52" s="69">
        <v>27649350315</v>
      </c>
      <c r="L52" s="69">
        <v>0</v>
      </c>
      <c r="M52" s="2">
        <f>+K52</f>
        <v>27649350315</v>
      </c>
      <c r="N52" s="71" t="s">
        <v>37</v>
      </c>
      <c r="O52" s="71"/>
      <c r="P52" s="66">
        <v>2018</v>
      </c>
      <c r="Q52" s="66" t="s">
        <v>30</v>
      </c>
      <c r="R52" s="66"/>
      <c r="S52" s="66"/>
      <c r="T52" s="80">
        <v>0.82540000000000002</v>
      </c>
      <c r="U52" s="71" t="s">
        <v>30</v>
      </c>
    </row>
    <row r="53" spans="1:21" ht="45.6" hidden="1" customHeight="1">
      <c r="A53" s="93"/>
      <c r="B53" s="71" t="s">
        <v>180</v>
      </c>
      <c r="C53" s="66" t="s">
        <v>181</v>
      </c>
      <c r="D53" s="66" t="s">
        <v>119</v>
      </c>
      <c r="E53" s="81"/>
      <c r="F53" s="71" t="s">
        <v>192</v>
      </c>
      <c r="G53" s="66" t="s">
        <v>193</v>
      </c>
      <c r="H53" s="66" t="s">
        <v>193</v>
      </c>
      <c r="I53" s="66"/>
      <c r="J53" s="66"/>
      <c r="K53" s="69">
        <v>1100000000</v>
      </c>
      <c r="L53" s="69">
        <v>2782817007</v>
      </c>
      <c r="M53" s="69">
        <f>+K53+L53</f>
        <v>3882817007</v>
      </c>
      <c r="N53" s="71" t="s">
        <v>28</v>
      </c>
      <c r="O53" s="71" t="s">
        <v>51</v>
      </c>
      <c r="P53" s="66">
        <v>2022</v>
      </c>
      <c r="Q53" s="66" t="s">
        <v>52</v>
      </c>
      <c r="R53" s="66"/>
      <c r="S53" s="66"/>
      <c r="T53" s="70">
        <v>0.8</v>
      </c>
      <c r="U53" s="71" t="s">
        <v>194</v>
      </c>
    </row>
    <row r="54" spans="1:21" ht="40.9" customHeight="1">
      <c r="A54" s="93"/>
      <c r="B54" s="71" t="s">
        <v>195</v>
      </c>
      <c r="C54" s="66" t="s">
        <v>181</v>
      </c>
      <c r="D54" s="66" t="s">
        <v>23</v>
      </c>
      <c r="E54" s="81" t="s">
        <v>62</v>
      </c>
      <c r="F54" s="71" t="s">
        <v>196</v>
      </c>
      <c r="G54" s="71" t="s">
        <v>197</v>
      </c>
      <c r="H54" s="71"/>
      <c r="I54" s="71" t="s">
        <v>106</v>
      </c>
      <c r="J54" s="71"/>
      <c r="K54" s="69">
        <v>2375000000</v>
      </c>
      <c r="L54" s="69">
        <v>0</v>
      </c>
      <c r="M54" s="69">
        <v>2375000000</v>
      </c>
      <c r="N54" s="2" t="s">
        <v>37</v>
      </c>
      <c r="O54" s="71" t="s">
        <v>62</v>
      </c>
      <c r="P54" s="66">
        <v>2025</v>
      </c>
      <c r="Q54" s="66" t="s">
        <v>129</v>
      </c>
      <c r="R54" s="66"/>
      <c r="S54" s="66"/>
      <c r="T54" s="66"/>
      <c r="U54" s="66" t="s">
        <v>129</v>
      </c>
    </row>
    <row r="55" spans="1:21" ht="40.9" hidden="1" customHeight="1">
      <c r="A55" s="93"/>
      <c r="B55" s="71" t="s">
        <v>195</v>
      </c>
      <c r="C55" s="66" t="s">
        <v>181</v>
      </c>
      <c r="D55" s="66" t="s">
        <v>48</v>
      </c>
      <c r="E55" s="81">
        <v>4600014899</v>
      </c>
      <c r="F55" s="71" t="s">
        <v>198</v>
      </c>
      <c r="G55" s="71" t="s">
        <v>199</v>
      </c>
      <c r="H55" s="71"/>
      <c r="I55" s="71" t="s">
        <v>106</v>
      </c>
      <c r="J55" s="71"/>
      <c r="K55" s="69">
        <v>299660621</v>
      </c>
      <c r="L55" s="69">
        <v>0</v>
      </c>
      <c r="M55" s="69">
        <f>+K55</f>
        <v>299660621</v>
      </c>
      <c r="N55" s="71" t="s">
        <v>28</v>
      </c>
      <c r="O55" s="71" t="s">
        <v>51</v>
      </c>
      <c r="P55" s="66">
        <v>2023</v>
      </c>
      <c r="Q55" s="66" t="s">
        <v>52</v>
      </c>
      <c r="R55" s="66"/>
      <c r="S55" s="66"/>
      <c r="T55" s="70">
        <v>1</v>
      </c>
      <c r="U55" s="66"/>
    </row>
    <row r="56" spans="1:21" ht="41.45" hidden="1">
      <c r="A56" s="93"/>
      <c r="B56" s="71" t="s">
        <v>195</v>
      </c>
      <c r="C56" s="66" t="s">
        <v>181</v>
      </c>
      <c r="D56" s="66" t="s">
        <v>42</v>
      </c>
      <c r="E56" s="81">
        <v>2020050510147</v>
      </c>
      <c r="F56" s="71" t="s">
        <v>200</v>
      </c>
      <c r="G56" s="71" t="s">
        <v>201</v>
      </c>
      <c r="H56" s="71">
        <v>1.1000000000000001</v>
      </c>
      <c r="I56" s="71" t="s">
        <v>106</v>
      </c>
      <c r="J56" s="71"/>
      <c r="K56" s="69">
        <v>1440000000</v>
      </c>
      <c r="L56" s="69">
        <v>360000000</v>
      </c>
      <c r="M56" s="69">
        <f>+K56+L56</f>
        <v>1800000000</v>
      </c>
      <c r="N56" s="71" t="s">
        <v>37</v>
      </c>
      <c r="O56" s="71" t="s">
        <v>29</v>
      </c>
      <c r="P56" s="66">
        <v>2020</v>
      </c>
      <c r="Q56" s="66" t="s">
        <v>30</v>
      </c>
      <c r="R56" s="66"/>
      <c r="S56" s="66"/>
      <c r="T56" s="70">
        <v>0.93</v>
      </c>
      <c r="U56" s="71" t="s">
        <v>39</v>
      </c>
    </row>
    <row r="57" spans="1:21" ht="40.9" customHeight="1">
      <c r="A57" s="93"/>
      <c r="B57" s="71" t="s">
        <v>195</v>
      </c>
      <c r="C57" s="66" t="s">
        <v>181</v>
      </c>
      <c r="D57" s="66" t="s">
        <v>42</v>
      </c>
      <c r="E57" s="81" t="s">
        <v>202</v>
      </c>
      <c r="F57" s="71" t="s">
        <v>203</v>
      </c>
      <c r="G57" s="71" t="s">
        <v>204</v>
      </c>
      <c r="H57" s="71">
        <v>0.1</v>
      </c>
      <c r="I57" s="71" t="s">
        <v>106</v>
      </c>
      <c r="J57" s="71"/>
      <c r="K57" s="69">
        <v>122411722</v>
      </c>
      <c r="L57" s="69">
        <v>8999214</v>
      </c>
      <c r="M57" s="69">
        <f>+K57+L57</f>
        <v>131410936</v>
      </c>
      <c r="N57" s="71" t="s">
        <v>28</v>
      </c>
      <c r="O57" s="71" t="s">
        <v>51</v>
      </c>
      <c r="P57" s="66">
        <v>2025</v>
      </c>
      <c r="Q57" s="66" t="s">
        <v>30</v>
      </c>
      <c r="R57" s="66"/>
      <c r="S57" s="66"/>
      <c r="T57" s="70">
        <v>0.1</v>
      </c>
      <c r="U57" s="71"/>
    </row>
    <row r="58" spans="1:21" ht="34.15" customHeight="1">
      <c r="A58" s="93"/>
      <c r="B58" s="71" t="s">
        <v>195</v>
      </c>
      <c r="C58" s="66" t="s">
        <v>181</v>
      </c>
      <c r="D58" s="66" t="s">
        <v>23</v>
      </c>
      <c r="E58" s="81" t="s">
        <v>205</v>
      </c>
      <c r="F58" s="71" t="s">
        <v>101</v>
      </c>
      <c r="G58" s="71" t="s">
        <v>206</v>
      </c>
      <c r="H58" s="71">
        <v>30</v>
      </c>
      <c r="I58" s="71" t="s">
        <v>26</v>
      </c>
      <c r="J58" s="71" t="s">
        <v>27</v>
      </c>
      <c r="K58" s="79">
        <f>1530782644*30</f>
        <v>45923479320</v>
      </c>
      <c r="L58" s="79">
        <v>0</v>
      </c>
      <c r="M58" s="69">
        <f>+K58</f>
        <v>45923479320</v>
      </c>
      <c r="N58" s="71" t="s">
        <v>28</v>
      </c>
      <c r="O58" s="71" t="s">
        <v>96</v>
      </c>
      <c r="P58" s="66">
        <v>2025</v>
      </c>
      <c r="Q58" s="66" t="s">
        <v>30</v>
      </c>
      <c r="R58" s="85"/>
      <c r="S58" s="87"/>
      <c r="T58" s="80"/>
      <c r="U58" s="66" t="s">
        <v>154</v>
      </c>
    </row>
    <row r="59" spans="1:21" ht="61.15" customHeight="1">
      <c r="A59" s="100"/>
      <c r="B59" s="71" t="s">
        <v>207</v>
      </c>
      <c r="C59" s="66" t="s">
        <v>22</v>
      </c>
      <c r="D59" s="66" t="s">
        <v>23</v>
      </c>
      <c r="E59" s="81">
        <v>4600017743</v>
      </c>
      <c r="F59" s="71" t="s">
        <v>208</v>
      </c>
      <c r="G59" s="71" t="s">
        <v>209</v>
      </c>
      <c r="H59" s="71">
        <v>8.8000000000000007</v>
      </c>
      <c r="I59" s="71"/>
      <c r="J59" s="71"/>
      <c r="K59" s="3">
        <v>11702657</v>
      </c>
      <c r="L59" s="79">
        <v>0</v>
      </c>
      <c r="M59" s="69">
        <f>+K59</f>
        <v>11702657</v>
      </c>
      <c r="N59" s="71" t="s">
        <v>28</v>
      </c>
      <c r="O59" s="71" t="s">
        <v>114</v>
      </c>
      <c r="P59" s="66">
        <v>2024</v>
      </c>
      <c r="Q59" s="66" t="s">
        <v>52</v>
      </c>
      <c r="R59" s="66"/>
      <c r="S59" s="66"/>
      <c r="T59" s="70">
        <v>1</v>
      </c>
      <c r="U59" s="66" t="s">
        <v>69</v>
      </c>
    </row>
    <row r="60" spans="1:21" ht="61.15" hidden="1" customHeight="1">
      <c r="A60" s="100"/>
      <c r="B60" s="71" t="s">
        <v>207</v>
      </c>
      <c r="C60" s="66" t="s">
        <v>22</v>
      </c>
      <c r="D60" s="66" t="s">
        <v>42</v>
      </c>
      <c r="E60" s="81">
        <v>2020050550084</v>
      </c>
      <c r="F60" s="71" t="s">
        <v>210</v>
      </c>
      <c r="G60" s="71" t="s">
        <v>76</v>
      </c>
      <c r="H60" s="71">
        <v>1</v>
      </c>
      <c r="I60" s="71"/>
      <c r="J60" s="71"/>
      <c r="K60" s="3">
        <v>2244829831</v>
      </c>
      <c r="L60" s="79">
        <v>0</v>
      </c>
      <c r="M60" s="69">
        <v>2244829831</v>
      </c>
      <c r="N60" s="71" t="s">
        <v>37</v>
      </c>
      <c r="O60" s="71" t="s">
        <v>45</v>
      </c>
      <c r="P60" s="66">
        <v>2020</v>
      </c>
      <c r="Q60" s="66" t="s">
        <v>30</v>
      </c>
      <c r="R60" s="66"/>
      <c r="S60" s="66"/>
      <c r="T60" s="70">
        <v>0.96</v>
      </c>
      <c r="U60" s="66" t="s">
        <v>30</v>
      </c>
    </row>
    <row r="61" spans="1:21" ht="41.45">
      <c r="A61" s="93"/>
      <c r="B61" s="61" t="s">
        <v>207</v>
      </c>
      <c r="C61" s="62" t="s">
        <v>22</v>
      </c>
      <c r="D61" s="62" t="s">
        <v>42</v>
      </c>
      <c r="E61" s="63" t="s">
        <v>62</v>
      </c>
      <c r="F61" s="61" t="s">
        <v>211</v>
      </c>
      <c r="G61" s="62" t="s">
        <v>144</v>
      </c>
      <c r="H61" s="62">
        <v>6</v>
      </c>
      <c r="I61" s="62"/>
      <c r="J61" s="62"/>
      <c r="K61" s="64">
        <v>14386750676</v>
      </c>
      <c r="L61" s="64">
        <v>0</v>
      </c>
      <c r="M61" s="64">
        <v>14386750676</v>
      </c>
      <c r="N61" s="65" t="s">
        <v>37</v>
      </c>
      <c r="O61" s="61" t="s">
        <v>51</v>
      </c>
      <c r="P61" s="62">
        <v>2025</v>
      </c>
      <c r="Q61" s="62" t="s">
        <v>129</v>
      </c>
      <c r="R61" s="62"/>
      <c r="S61" s="62"/>
      <c r="T61" s="62"/>
      <c r="U61" s="61" t="s">
        <v>212</v>
      </c>
    </row>
    <row r="62" spans="1:21" ht="33" customHeight="1">
      <c r="A62" s="99">
        <v>14</v>
      </c>
      <c r="B62" s="71" t="s">
        <v>213</v>
      </c>
      <c r="C62" s="66" t="s">
        <v>41</v>
      </c>
      <c r="D62" s="66" t="s">
        <v>23</v>
      </c>
      <c r="E62" s="81" t="s">
        <v>214</v>
      </c>
      <c r="F62" s="71" t="s">
        <v>101</v>
      </c>
      <c r="G62" s="66" t="s">
        <v>215</v>
      </c>
      <c r="H62" s="66" t="s">
        <v>216</v>
      </c>
      <c r="I62" s="66"/>
      <c r="J62" s="66"/>
      <c r="K62" s="69">
        <f>1346222109*5</f>
        <v>6731110545</v>
      </c>
      <c r="L62" s="69">
        <v>0</v>
      </c>
      <c r="M62" s="69">
        <f>+K62</f>
        <v>6731110545</v>
      </c>
      <c r="N62" s="71" t="s">
        <v>28</v>
      </c>
      <c r="O62" s="71" t="s">
        <v>96</v>
      </c>
      <c r="P62" s="66">
        <v>2025</v>
      </c>
      <c r="Q62" s="66" t="s">
        <v>30</v>
      </c>
      <c r="R62" s="85"/>
      <c r="S62" s="87"/>
      <c r="T62" s="80"/>
      <c r="U62" s="66" t="s">
        <v>154</v>
      </c>
    </row>
    <row r="63" spans="1:21" ht="102" hidden="1" customHeight="1">
      <c r="A63" s="104"/>
      <c r="B63" s="71" t="s">
        <v>213</v>
      </c>
      <c r="C63" s="66" t="s">
        <v>41</v>
      </c>
      <c r="D63" s="66" t="s">
        <v>23</v>
      </c>
      <c r="E63" s="81">
        <v>4600014783</v>
      </c>
      <c r="F63" s="71" t="s">
        <v>217</v>
      </c>
      <c r="G63" s="71" t="s">
        <v>218</v>
      </c>
      <c r="H63" s="71" t="s">
        <v>219</v>
      </c>
      <c r="I63" s="71"/>
      <c r="J63" s="71"/>
      <c r="K63" s="69">
        <v>19559076397</v>
      </c>
      <c r="L63" s="69">
        <v>0</v>
      </c>
      <c r="M63" s="69">
        <f>+K63</f>
        <v>19559076397</v>
      </c>
      <c r="N63" s="71" t="s">
        <v>220</v>
      </c>
      <c r="O63" s="71" t="s">
        <v>96</v>
      </c>
      <c r="P63" s="66">
        <v>2022</v>
      </c>
      <c r="Q63" s="66" t="s">
        <v>52</v>
      </c>
      <c r="R63" s="66"/>
      <c r="S63" s="66"/>
      <c r="T63" s="70">
        <v>1</v>
      </c>
      <c r="U63" s="66" t="s">
        <v>69</v>
      </c>
    </row>
    <row r="64" spans="1:21" ht="107.25" customHeight="1">
      <c r="A64" s="100"/>
      <c r="B64" s="71" t="s">
        <v>213</v>
      </c>
      <c r="C64" s="66" t="s">
        <v>41</v>
      </c>
      <c r="D64" s="66" t="s">
        <v>23</v>
      </c>
      <c r="E64" s="81"/>
      <c r="F64" s="71" t="s">
        <v>221</v>
      </c>
      <c r="G64" s="66" t="s">
        <v>222</v>
      </c>
      <c r="H64" s="66">
        <v>21</v>
      </c>
      <c r="I64" s="66"/>
      <c r="J64" s="66"/>
      <c r="K64" s="2">
        <v>260000000</v>
      </c>
      <c r="L64" s="69">
        <f>+M64-K64</f>
        <v>57000000</v>
      </c>
      <c r="M64" s="69">
        <v>317000000</v>
      </c>
      <c r="N64" s="71" t="s">
        <v>28</v>
      </c>
      <c r="O64" s="71" t="s">
        <v>51</v>
      </c>
      <c r="P64" s="66">
        <v>2024</v>
      </c>
      <c r="Q64" s="66" t="s">
        <v>52</v>
      </c>
      <c r="R64" s="66"/>
      <c r="S64" s="66"/>
      <c r="T64" s="70">
        <v>1</v>
      </c>
      <c r="U64" s="66" t="s">
        <v>69</v>
      </c>
    </row>
    <row r="65" spans="1:21" ht="107.25" customHeight="1">
      <c r="A65" s="68"/>
      <c r="B65" s="71" t="s">
        <v>223</v>
      </c>
      <c r="C65" s="66" t="s">
        <v>224</v>
      </c>
      <c r="D65" s="66" t="s">
        <v>42</v>
      </c>
      <c r="E65" s="81" t="s">
        <v>225</v>
      </c>
      <c r="F65" s="71" t="s">
        <v>226</v>
      </c>
      <c r="G65" s="66" t="s">
        <v>141</v>
      </c>
      <c r="H65" s="66">
        <v>0.2</v>
      </c>
      <c r="I65" s="66"/>
      <c r="J65" s="66"/>
      <c r="K65" s="2">
        <v>230190574</v>
      </c>
      <c r="L65" s="69">
        <v>26293645</v>
      </c>
      <c r="M65" s="69">
        <f>+K65+L65</f>
        <v>256484219</v>
      </c>
      <c r="N65" s="71" t="s">
        <v>28</v>
      </c>
      <c r="O65" s="71" t="s">
        <v>51</v>
      </c>
      <c r="P65" s="66">
        <v>2025</v>
      </c>
      <c r="Q65" s="66" t="s">
        <v>52</v>
      </c>
      <c r="R65" s="66"/>
      <c r="S65" s="66"/>
      <c r="T65" s="70">
        <v>1</v>
      </c>
      <c r="U65" s="66" t="s">
        <v>74</v>
      </c>
    </row>
    <row r="66" spans="1:21" ht="102" customHeight="1">
      <c r="A66" s="68"/>
      <c r="B66" s="71" t="s">
        <v>223</v>
      </c>
      <c r="C66" s="66" t="s">
        <v>224</v>
      </c>
      <c r="D66" s="66" t="s">
        <v>23</v>
      </c>
      <c r="E66" s="81"/>
      <c r="F66" s="71" t="s">
        <v>227</v>
      </c>
      <c r="G66" s="66" t="s">
        <v>165</v>
      </c>
      <c r="H66" s="66">
        <v>4</v>
      </c>
      <c r="I66" s="66"/>
      <c r="J66" s="66"/>
      <c r="K66" s="2">
        <f>+M66</f>
        <v>12037419164</v>
      </c>
      <c r="L66" s="69">
        <v>0</v>
      </c>
      <c r="M66" s="69">
        <v>12037419164</v>
      </c>
      <c r="N66" s="71" t="s">
        <v>28</v>
      </c>
      <c r="O66" s="71" t="s">
        <v>45</v>
      </c>
      <c r="P66" s="66">
        <v>2025</v>
      </c>
      <c r="Q66" s="66" t="s">
        <v>99</v>
      </c>
      <c r="R66" s="66"/>
      <c r="S66" s="66"/>
      <c r="T66" s="66"/>
      <c r="U66" s="71" t="s">
        <v>99</v>
      </c>
    </row>
    <row r="67" spans="1:21" ht="102" hidden="1" customHeight="1">
      <c r="A67" s="99">
        <v>16</v>
      </c>
      <c r="B67" s="71" t="s">
        <v>228</v>
      </c>
      <c r="C67" s="66" t="s">
        <v>224</v>
      </c>
      <c r="D67" s="66" t="s">
        <v>119</v>
      </c>
      <c r="E67" s="81"/>
      <c r="F67" s="71" t="s">
        <v>229</v>
      </c>
      <c r="G67" s="66" t="s">
        <v>230</v>
      </c>
      <c r="H67" s="66" t="s">
        <v>230</v>
      </c>
      <c r="I67" s="66"/>
      <c r="J67" s="66"/>
      <c r="K67" s="2">
        <v>4527406223</v>
      </c>
      <c r="L67" s="2">
        <v>18109624891</v>
      </c>
      <c r="M67" s="69">
        <v>22637031114</v>
      </c>
      <c r="N67" s="71" t="s">
        <v>142</v>
      </c>
      <c r="O67" s="71" t="s">
        <v>96</v>
      </c>
      <c r="P67" s="66">
        <v>2021</v>
      </c>
      <c r="Q67" s="66" t="s">
        <v>52</v>
      </c>
      <c r="R67" s="66"/>
      <c r="S67" s="66"/>
      <c r="T67" s="40">
        <v>1</v>
      </c>
      <c r="U67" s="71" t="s">
        <v>231</v>
      </c>
    </row>
    <row r="68" spans="1:21" ht="13.9">
      <c r="A68" s="100"/>
      <c r="B68" s="71" t="s">
        <v>228</v>
      </c>
      <c r="C68" s="66" t="s">
        <v>224</v>
      </c>
      <c r="D68" s="66" t="s">
        <v>23</v>
      </c>
      <c r="E68" s="81"/>
      <c r="F68" s="71" t="s">
        <v>232</v>
      </c>
      <c r="G68" s="66" t="s">
        <v>233</v>
      </c>
      <c r="H68" s="66">
        <v>6.1</v>
      </c>
      <c r="I68" s="66"/>
      <c r="J68" s="66"/>
      <c r="K68" s="69">
        <v>3288792068</v>
      </c>
      <c r="L68" s="69">
        <v>0</v>
      </c>
      <c r="M68" s="69">
        <f>+K68</f>
        <v>3288792068</v>
      </c>
      <c r="N68" s="71" t="s">
        <v>28</v>
      </c>
      <c r="O68" s="71" t="s">
        <v>45</v>
      </c>
      <c r="P68" s="66">
        <v>2025</v>
      </c>
      <c r="Q68" s="66" t="s">
        <v>99</v>
      </c>
      <c r="R68" s="66"/>
      <c r="S68" s="66"/>
      <c r="T68" s="66"/>
      <c r="U68" s="66" t="s">
        <v>99</v>
      </c>
    </row>
    <row r="69" spans="1:21" ht="51.6" customHeight="1">
      <c r="A69" s="99">
        <v>17</v>
      </c>
      <c r="B69" s="71" t="s">
        <v>234</v>
      </c>
      <c r="C69" s="66" t="s">
        <v>149</v>
      </c>
      <c r="D69" s="66" t="s">
        <v>23</v>
      </c>
      <c r="E69" s="81"/>
      <c r="F69" s="71" t="s">
        <v>101</v>
      </c>
      <c r="G69" s="71" t="s">
        <v>235</v>
      </c>
      <c r="H69" s="71" t="s">
        <v>236</v>
      </c>
      <c r="I69" s="71"/>
      <c r="J69" s="71"/>
      <c r="K69" s="69">
        <f>1341407247*33.59</f>
        <v>45057869426.730003</v>
      </c>
      <c r="L69" s="69">
        <v>0</v>
      </c>
      <c r="M69" s="69">
        <f>+K69</f>
        <v>45057869426.730003</v>
      </c>
      <c r="N69" s="79" t="s">
        <v>28</v>
      </c>
      <c r="O69" s="71" t="s">
        <v>96</v>
      </c>
      <c r="P69" s="66">
        <v>2025</v>
      </c>
      <c r="Q69" s="66" t="s">
        <v>30</v>
      </c>
      <c r="R69" s="85"/>
      <c r="S69" s="87"/>
      <c r="T69" s="80"/>
      <c r="U69" s="66" t="s">
        <v>154</v>
      </c>
    </row>
    <row r="70" spans="1:21" ht="41.45">
      <c r="A70" s="104"/>
      <c r="B70" s="71" t="s">
        <v>234</v>
      </c>
      <c r="C70" s="66" t="s">
        <v>149</v>
      </c>
      <c r="D70" s="66" t="s">
        <v>23</v>
      </c>
      <c r="E70" s="81"/>
      <c r="F70" s="71" t="s">
        <v>237</v>
      </c>
      <c r="G70" s="71" t="s">
        <v>238</v>
      </c>
      <c r="H70" s="71" t="s">
        <v>239</v>
      </c>
      <c r="I70" s="71"/>
      <c r="J70" s="71"/>
      <c r="K70" s="69">
        <v>33992353</v>
      </c>
      <c r="L70" s="69">
        <v>0</v>
      </c>
      <c r="M70" s="69">
        <f>+K70</f>
        <v>33992353</v>
      </c>
      <c r="N70" s="79" t="s">
        <v>28</v>
      </c>
      <c r="O70" s="71" t="s">
        <v>187</v>
      </c>
      <c r="P70" s="66">
        <v>2024</v>
      </c>
      <c r="Q70" s="66" t="s">
        <v>52</v>
      </c>
      <c r="R70" s="66"/>
      <c r="S70" s="66"/>
      <c r="T70" s="44">
        <v>1</v>
      </c>
      <c r="U70" s="66" t="s">
        <v>69</v>
      </c>
    </row>
    <row r="71" spans="1:21" ht="67.900000000000006" hidden="1" customHeight="1">
      <c r="A71" s="104"/>
      <c r="B71" s="71" t="s">
        <v>240</v>
      </c>
      <c r="C71" s="66" t="s">
        <v>83</v>
      </c>
      <c r="D71" s="66" t="s">
        <v>42</v>
      </c>
      <c r="E71" s="81">
        <v>2021003050023</v>
      </c>
      <c r="F71" s="71" t="s">
        <v>241</v>
      </c>
      <c r="G71" s="71" t="s">
        <v>242</v>
      </c>
      <c r="H71" s="71">
        <v>5.0999999999999996</v>
      </c>
      <c r="I71" s="71"/>
      <c r="J71" s="71"/>
      <c r="K71" s="79">
        <v>9871259287.2099991</v>
      </c>
      <c r="L71" s="79">
        <v>0</v>
      </c>
      <c r="M71" s="69">
        <f>+K71</f>
        <v>9871259287.2099991</v>
      </c>
      <c r="N71" s="79" t="s">
        <v>37</v>
      </c>
      <c r="O71" s="71"/>
      <c r="P71" s="66">
        <v>2021</v>
      </c>
      <c r="Q71" s="66" t="s">
        <v>30</v>
      </c>
      <c r="R71" s="66"/>
      <c r="S71" s="66"/>
      <c r="T71" s="70">
        <v>0.97</v>
      </c>
      <c r="U71" s="66" t="s">
        <v>30</v>
      </c>
    </row>
    <row r="72" spans="1:21" ht="174.6" hidden="1" customHeight="1">
      <c r="A72" s="104"/>
      <c r="B72" s="71" t="s">
        <v>243</v>
      </c>
      <c r="C72" s="66" t="s">
        <v>83</v>
      </c>
      <c r="D72" s="66" t="s">
        <v>23</v>
      </c>
      <c r="E72" s="81"/>
      <c r="F72" s="71" t="s">
        <v>244</v>
      </c>
      <c r="G72" s="71" t="s">
        <v>245</v>
      </c>
      <c r="H72" s="71" t="s">
        <v>246</v>
      </c>
      <c r="I72" s="71"/>
      <c r="J72" s="71"/>
      <c r="K72" s="79">
        <f>+M72</f>
        <v>1266666666.6666667</v>
      </c>
      <c r="L72" s="79">
        <v>0</v>
      </c>
      <c r="M72" s="69">
        <f>3800000000/3</f>
        <v>1266666666.6666667</v>
      </c>
      <c r="N72" s="71" t="s">
        <v>28</v>
      </c>
      <c r="O72" s="71" t="s">
        <v>96</v>
      </c>
      <c r="P72" s="66">
        <v>2023</v>
      </c>
      <c r="Q72" s="66" t="s">
        <v>52</v>
      </c>
      <c r="R72" s="66"/>
      <c r="S72" s="66"/>
      <c r="T72" s="70">
        <v>1</v>
      </c>
      <c r="U72" s="66" t="s">
        <v>81</v>
      </c>
    </row>
    <row r="73" spans="1:21" ht="40.9" customHeight="1">
      <c r="A73" s="104"/>
      <c r="B73" s="71" t="s">
        <v>243</v>
      </c>
      <c r="C73" s="66" t="s">
        <v>83</v>
      </c>
      <c r="D73" s="66" t="s">
        <v>174</v>
      </c>
      <c r="E73" s="81" t="s">
        <v>62</v>
      </c>
      <c r="F73" s="71" t="s">
        <v>175</v>
      </c>
      <c r="G73" s="71" t="s">
        <v>247</v>
      </c>
      <c r="H73" s="71" t="s">
        <v>247</v>
      </c>
      <c r="I73" s="71"/>
      <c r="J73" s="71"/>
      <c r="K73" s="79">
        <f>+M73</f>
        <v>1665137503</v>
      </c>
      <c r="L73" s="79">
        <v>0</v>
      </c>
      <c r="M73" s="69">
        <v>1665137503</v>
      </c>
      <c r="N73" s="71" t="s">
        <v>37</v>
      </c>
      <c r="O73" s="71"/>
      <c r="P73" s="66">
        <v>2026</v>
      </c>
      <c r="Q73" s="66" t="s">
        <v>177</v>
      </c>
      <c r="R73" s="66"/>
      <c r="S73" s="66"/>
      <c r="T73" s="66"/>
      <c r="U73" s="71" t="s">
        <v>248</v>
      </c>
    </row>
    <row r="74" spans="1:21" ht="40.9" customHeight="1">
      <c r="A74" s="104"/>
      <c r="B74" s="71" t="s">
        <v>243</v>
      </c>
      <c r="C74" s="66" t="s">
        <v>83</v>
      </c>
      <c r="D74" s="66" t="s">
        <v>23</v>
      </c>
      <c r="E74" s="81"/>
      <c r="F74" s="71" t="s">
        <v>208</v>
      </c>
      <c r="G74" s="71" t="s">
        <v>249</v>
      </c>
      <c r="H74" s="71">
        <v>31.1</v>
      </c>
      <c r="I74" s="71"/>
      <c r="J74" s="71"/>
      <c r="K74" s="3">
        <v>41355650</v>
      </c>
      <c r="L74" s="3">
        <v>0</v>
      </c>
      <c r="M74" s="69">
        <f>+K74</f>
        <v>41355650</v>
      </c>
      <c r="N74" s="71" t="s">
        <v>28</v>
      </c>
      <c r="O74" s="71" t="s">
        <v>114</v>
      </c>
      <c r="P74" s="66">
        <v>2024</v>
      </c>
      <c r="Q74" s="66" t="s">
        <v>52</v>
      </c>
      <c r="R74" s="66"/>
      <c r="S74" s="66"/>
      <c r="T74" s="70">
        <v>1</v>
      </c>
      <c r="U74" s="66" t="s">
        <v>69</v>
      </c>
    </row>
    <row r="75" spans="1:21" ht="40.9" customHeight="1">
      <c r="A75" s="104"/>
      <c r="B75" s="71" t="s">
        <v>243</v>
      </c>
      <c r="C75" s="66" t="s">
        <v>83</v>
      </c>
      <c r="D75" s="66" t="s">
        <v>131</v>
      </c>
      <c r="E75" s="81">
        <v>4600017793</v>
      </c>
      <c r="F75" s="71" t="s">
        <v>137</v>
      </c>
      <c r="G75" s="71" t="s">
        <v>250</v>
      </c>
      <c r="H75" s="71">
        <v>17.22</v>
      </c>
      <c r="I75" s="71" t="s">
        <v>26</v>
      </c>
      <c r="J75" s="71" t="s">
        <v>134</v>
      </c>
      <c r="K75" s="2">
        <v>17166424376</v>
      </c>
      <c r="L75" s="69">
        <v>0</v>
      </c>
      <c r="M75" s="42">
        <f>+K75</f>
        <v>17166424376</v>
      </c>
      <c r="N75" s="71" t="s">
        <v>28</v>
      </c>
      <c r="O75" s="71" t="s">
        <v>135</v>
      </c>
      <c r="P75" s="66">
        <v>2024</v>
      </c>
      <c r="Q75" s="66" t="s">
        <v>30</v>
      </c>
      <c r="R75" s="66"/>
      <c r="S75" s="66"/>
      <c r="T75" s="70">
        <v>0.87</v>
      </c>
      <c r="U75" s="71" t="s">
        <v>136</v>
      </c>
    </row>
    <row r="76" spans="1:21" ht="40.9" customHeight="1">
      <c r="A76" s="104"/>
      <c r="B76" s="71" t="s">
        <v>243</v>
      </c>
      <c r="C76" s="66" t="s">
        <v>83</v>
      </c>
      <c r="D76" s="66" t="s">
        <v>42</v>
      </c>
      <c r="E76" s="81">
        <v>2025003050038</v>
      </c>
      <c r="F76" s="71" t="s">
        <v>251</v>
      </c>
      <c r="G76" s="71" t="s">
        <v>76</v>
      </c>
      <c r="H76" s="71">
        <v>1</v>
      </c>
      <c r="I76" s="71"/>
      <c r="J76" s="71"/>
      <c r="K76" s="2">
        <v>1500000000</v>
      </c>
      <c r="L76" s="69">
        <v>638705796</v>
      </c>
      <c r="M76" s="42">
        <f>+K76+L76</f>
        <v>2138705796</v>
      </c>
      <c r="N76" s="71" t="s">
        <v>37</v>
      </c>
      <c r="O76" s="71" t="s">
        <v>78</v>
      </c>
      <c r="P76" s="66">
        <v>2026</v>
      </c>
      <c r="Q76" s="66" t="s">
        <v>30</v>
      </c>
      <c r="R76" s="66"/>
      <c r="S76" s="66"/>
      <c r="T76" s="70"/>
      <c r="U76" s="71"/>
    </row>
    <row r="77" spans="1:21" ht="13.9">
      <c r="A77" s="100"/>
      <c r="B77" s="71" t="s">
        <v>243</v>
      </c>
      <c r="C77" s="66" t="s">
        <v>83</v>
      </c>
      <c r="D77" s="66" t="s">
        <v>42</v>
      </c>
      <c r="E77" s="81" t="s">
        <v>252</v>
      </c>
      <c r="F77" s="71" t="s">
        <v>80</v>
      </c>
      <c r="G77" s="66" t="s">
        <v>76</v>
      </c>
      <c r="H77" s="66">
        <v>1</v>
      </c>
      <c r="I77" s="66"/>
      <c r="J77" s="66"/>
      <c r="K77" s="69">
        <v>350000000</v>
      </c>
      <c r="L77" s="69">
        <v>463793975</v>
      </c>
      <c r="M77" s="2">
        <f>+L77+K77</f>
        <v>813793975</v>
      </c>
      <c r="N77" s="71" t="s">
        <v>73</v>
      </c>
      <c r="O77" s="71" t="s">
        <v>51</v>
      </c>
      <c r="P77" s="66">
        <v>2024</v>
      </c>
      <c r="Q77" s="66" t="s">
        <v>30</v>
      </c>
      <c r="R77" s="66"/>
      <c r="S77" s="66"/>
      <c r="T77" s="70">
        <v>0.3</v>
      </c>
      <c r="U77" s="66" t="s">
        <v>253</v>
      </c>
    </row>
    <row r="78" spans="1:21" ht="20.45" customHeight="1">
      <c r="A78" s="104"/>
      <c r="B78" s="71" t="s">
        <v>254</v>
      </c>
      <c r="C78" s="66" t="s">
        <v>83</v>
      </c>
      <c r="D78" s="66" t="s">
        <v>131</v>
      </c>
      <c r="E78" s="81">
        <v>4600017793</v>
      </c>
      <c r="F78" s="71" t="s">
        <v>137</v>
      </c>
      <c r="G78" s="71" t="s">
        <v>255</v>
      </c>
      <c r="H78" s="71">
        <v>51.56</v>
      </c>
      <c r="I78" s="71" t="s">
        <v>26</v>
      </c>
      <c r="J78" s="71" t="s">
        <v>134</v>
      </c>
      <c r="K78" s="2">
        <v>17166424376</v>
      </c>
      <c r="L78" s="69">
        <v>0</v>
      </c>
      <c r="M78" s="42">
        <f>+K78</f>
        <v>17166424376</v>
      </c>
      <c r="N78" s="71" t="s">
        <v>28</v>
      </c>
      <c r="O78" s="71" t="s">
        <v>135</v>
      </c>
      <c r="P78" s="66">
        <v>2024</v>
      </c>
      <c r="Q78" s="66" t="s">
        <v>30</v>
      </c>
      <c r="R78" s="66"/>
      <c r="S78" s="66"/>
      <c r="T78" s="70">
        <v>0.87</v>
      </c>
      <c r="U78" s="71" t="s">
        <v>136</v>
      </c>
    </row>
    <row r="79" spans="1:21" ht="13.9">
      <c r="A79" s="104"/>
      <c r="B79" s="71" t="s">
        <v>254</v>
      </c>
      <c r="C79" s="66" t="s">
        <v>83</v>
      </c>
      <c r="D79" s="66" t="s">
        <v>42</v>
      </c>
      <c r="E79" s="81" t="s">
        <v>256</v>
      </c>
      <c r="F79" s="71" t="s">
        <v>257</v>
      </c>
      <c r="G79" s="71" t="s">
        <v>204</v>
      </c>
      <c r="H79" s="71">
        <v>0.1</v>
      </c>
      <c r="I79" s="71"/>
      <c r="J79" s="71"/>
      <c r="K79" s="43">
        <v>120911434</v>
      </c>
      <c r="L79" s="43">
        <v>17986560</v>
      </c>
      <c r="M79" s="9">
        <f>+K79+L79</f>
        <v>138897994</v>
      </c>
      <c r="N79" s="71" t="s">
        <v>28</v>
      </c>
      <c r="O79" s="71" t="s">
        <v>114</v>
      </c>
      <c r="P79" s="66">
        <v>2025</v>
      </c>
      <c r="Q79" s="66" t="s">
        <v>30</v>
      </c>
      <c r="R79" s="66"/>
      <c r="S79" s="66"/>
      <c r="T79" s="70">
        <v>0.9</v>
      </c>
      <c r="U79" s="66"/>
    </row>
    <row r="80" spans="1:21" ht="13.9">
      <c r="A80" s="104"/>
      <c r="B80" s="71" t="s">
        <v>254</v>
      </c>
      <c r="C80" s="66" t="s">
        <v>83</v>
      </c>
      <c r="D80" s="66" t="s">
        <v>42</v>
      </c>
      <c r="E80" s="81" t="s">
        <v>258</v>
      </c>
      <c r="F80" s="71" t="s">
        <v>259</v>
      </c>
      <c r="G80" s="71" t="s">
        <v>204</v>
      </c>
      <c r="H80" s="71">
        <v>0.1</v>
      </c>
      <c r="I80" s="71"/>
      <c r="J80" s="71"/>
      <c r="K80" s="43">
        <v>120668260</v>
      </c>
      <c r="L80" s="43">
        <v>18199514</v>
      </c>
      <c r="M80" s="9">
        <f>+K80+L80</f>
        <v>138867774</v>
      </c>
      <c r="N80" s="71" t="s">
        <v>28</v>
      </c>
      <c r="O80" s="71" t="s">
        <v>114</v>
      </c>
      <c r="P80" s="66">
        <v>2025</v>
      </c>
      <c r="Q80" s="66" t="s">
        <v>30</v>
      </c>
      <c r="R80" s="66"/>
      <c r="S80" s="66"/>
      <c r="T80" s="70">
        <v>0.25</v>
      </c>
      <c r="U80" s="66"/>
    </row>
    <row r="81" spans="1:22" ht="150.6" hidden="1" customHeight="1">
      <c r="A81" s="104"/>
      <c r="B81" s="71" t="s">
        <v>254</v>
      </c>
      <c r="C81" s="66" t="s">
        <v>83</v>
      </c>
      <c r="D81" s="66" t="s">
        <v>23</v>
      </c>
      <c r="E81" s="81"/>
      <c r="F81" s="71" t="s">
        <v>260</v>
      </c>
      <c r="G81" s="71" t="s">
        <v>261</v>
      </c>
      <c r="H81" s="71" t="s">
        <v>262</v>
      </c>
      <c r="I81" s="71"/>
      <c r="J81" s="71"/>
      <c r="K81" s="69">
        <f>3800000000/3</f>
        <v>1266666666.6666667</v>
      </c>
      <c r="L81" s="79">
        <v>0</v>
      </c>
      <c r="M81" s="69">
        <f>3800000000/3</f>
        <v>1266666666.6666667</v>
      </c>
      <c r="N81" s="71" t="s">
        <v>28</v>
      </c>
      <c r="O81" s="71" t="s">
        <v>96</v>
      </c>
      <c r="P81" s="66">
        <v>2023</v>
      </c>
      <c r="Q81" s="66" t="s">
        <v>52</v>
      </c>
      <c r="R81" s="66"/>
      <c r="S81" s="66"/>
      <c r="T81" s="70">
        <v>1</v>
      </c>
      <c r="U81" s="66" t="s">
        <v>81</v>
      </c>
    </row>
    <row r="82" spans="1:22" ht="20.45" customHeight="1">
      <c r="A82" s="104"/>
      <c r="B82" s="71" t="s">
        <v>263</v>
      </c>
      <c r="C82" s="66" t="s">
        <v>149</v>
      </c>
      <c r="D82" s="66" t="s">
        <v>42</v>
      </c>
      <c r="E82" s="81" t="s">
        <v>264</v>
      </c>
      <c r="F82" s="71" t="s">
        <v>265</v>
      </c>
      <c r="G82" s="66" t="s">
        <v>76</v>
      </c>
      <c r="H82" s="66">
        <v>1</v>
      </c>
      <c r="I82" s="66"/>
      <c r="J82" s="66"/>
      <c r="K82" s="2">
        <v>349997394</v>
      </c>
      <c r="L82" s="69">
        <v>624242380</v>
      </c>
      <c r="M82" s="69">
        <f>+K82+L82</f>
        <v>974239774</v>
      </c>
      <c r="N82" s="69" t="s">
        <v>73</v>
      </c>
      <c r="O82" s="66" t="s">
        <v>51</v>
      </c>
      <c r="P82" s="66">
        <v>2024</v>
      </c>
      <c r="Q82" s="66" t="s">
        <v>52</v>
      </c>
      <c r="R82" s="66"/>
      <c r="S82" s="66"/>
      <c r="T82" s="70">
        <v>1</v>
      </c>
      <c r="U82" s="66" t="s">
        <v>69</v>
      </c>
      <c r="V82" s="33"/>
    </row>
    <row r="83" spans="1:22" ht="38.450000000000003" hidden="1" customHeight="1">
      <c r="A83" s="104"/>
      <c r="B83" s="71" t="s">
        <v>263</v>
      </c>
      <c r="C83" s="66" t="s">
        <v>149</v>
      </c>
      <c r="D83" s="66" t="s">
        <v>23</v>
      </c>
      <c r="E83" s="81">
        <v>2023003050010</v>
      </c>
      <c r="F83" s="71" t="s">
        <v>266</v>
      </c>
      <c r="G83" s="66" t="s">
        <v>267</v>
      </c>
      <c r="H83" s="66">
        <v>1.8</v>
      </c>
      <c r="I83" s="66"/>
      <c r="J83" s="66"/>
      <c r="K83" s="2">
        <v>6039731295</v>
      </c>
      <c r="L83" s="69">
        <v>0</v>
      </c>
      <c r="M83" s="69">
        <v>6039731295</v>
      </c>
      <c r="N83" s="69" t="s">
        <v>37</v>
      </c>
      <c r="O83" s="66"/>
      <c r="P83" s="66">
        <v>2023</v>
      </c>
      <c r="Q83" s="66" t="s">
        <v>30</v>
      </c>
      <c r="R83" s="66"/>
      <c r="S83" s="66"/>
      <c r="T83" s="70">
        <v>0.87670000000000003</v>
      </c>
      <c r="U83" s="66" t="s">
        <v>30</v>
      </c>
      <c r="V83" s="33"/>
    </row>
    <row r="84" spans="1:22" ht="27.6">
      <c r="A84" s="104"/>
      <c r="B84" s="71" t="s">
        <v>263</v>
      </c>
      <c r="C84" s="66" t="s">
        <v>149</v>
      </c>
      <c r="D84" s="66" t="s">
        <v>174</v>
      </c>
      <c r="E84" s="81" t="s">
        <v>268</v>
      </c>
      <c r="F84" s="71" t="s">
        <v>269</v>
      </c>
      <c r="G84" s="71" t="s">
        <v>270</v>
      </c>
      <c r="H84" s="71" t="s">
        <v>270</v>
      </c>
      <c r="I84" s="71"/>
      <c r="J84" s="71"/>
      <c r="K84" s="79">
        <v>2249923072</v>
      </c>
      <c r="L84" s="79">
        <v>0</v>
      </c>
      <c r="M84" s="2">
        <f>+K84</f>
        <v>2249923072</v>
      </c>
      <c r="N84" s="69" t="s">
        <v>37</v>
      </c>
      <c r="O84" s="66" t="s">
        <v>96</v>
      </c>
      <c r="P84" s="66">
        <v>2025</v>
      </c>
      <c r="Q84" s="66" t="s">
        <v>99</v>
      </c>
      <c r="R84" s="66"/>
      <c r="S84" s="66"/>
      <c r="T84" s="70"/>
      <c r="U84" s="71" t="s">
        <v>271</v>
      </c>
    </row>
    <row r="85" spans="1:22" ht="55.15">
      <c r="A85" s="104"/>
      <c r="B85" s="71" t="s">
        <v>263</v>
      </c>
      <c r="C85" s="66" t="s">
        <v>149</v>
      </c>
      <c r="D85" s="66" t="s">
        <v>23</v>
      </c>
      <c r="E85" s="81"/>
      <c r="F85" s="71" t="s">
        <v>272</v>
      </c>
      <c r="G85" s="66" t="s">
        <v>273</v>
      </c>
      <c r="H85" s="66">
        <v>6.08</v>
      </c>
      <c r="I85" s="66"/>
      <c r="J85" s="66"/>
      <c r="K85" s="69">
        <f>+M85</f>
        <v>26983903880</v>
      </c>
      <c r="L85" s="69">
        <v>0</v>
      </c>
      <c r="M85" s="2">
        <v>26983903880</v>
      </c>
      <c r="N85" s="2" t="s">
        <v>37</v>
      </c>
      <c r="O85" s="66" t="s">
        <v>96</v>
      </c>
      <c r="P85" s="66">
        <v>2025</v>
      </c>
      <c r="Q85" s="66" t="s">
        <v>99</v>
      </c>
      <c r="R85" s="66"/>
      <c r="S85" s="66"/>
      <c r="T85" s="70"/>
      <c r="U85" s="71" t="s">
        <v>274</v>
      </c>
      <c r="V85" s="33"/>
    </row>
    <row r="86" spans="1:22" ht="20.45" customHeight="1">
      <c r="A86" s="104"/>
      <c r="B86" s="71" t="s">
        <v>263</v>
      </c>
      <c r="C86" s="66" t="s">
        <v>149</v>
      </c>
      <c r="D86" s="66" t="s">
        <v>42</v>
      </c>
      <c r="E86" s="81" t="s">
        <v>275</v>
      </c>
      <c r="F86" s="71" t="s">
        <v>265</v>
      </c>
      <c r="G86" s="66" t="s">
        <v>76</v>
      </c>
      <c r="H86" s="66">
        <v>1</v>
      </c>
      <c r="I86" s="66"/>
      <c r="J86" s="66"/>
      <c r="K86" s="2">
        <v>350000000</v>
      </c>
      <c r="L86" s="69">
        <v>618123582</v>
      </c>
      <c r="M86" s="69">
        <f>+K86+L86</f>
        <v>968123582</v>
      </c>
      <c r="N86" s="69" t="s">
        <v>73</v>
      </c>
      <c r="O86" s="66" t="s">
        <v>51</v>
      </c>
      <c r="P86" s="66">
        <v>2024</v>
      </c>
      <c r="Q86" s="66" t="s">
        <v>52</v>
      </c>
      <c r="R86" s="66"/>
      <c r="S86" s="66"/>
      <c r="T86" s="80">
        <v>1</v>
      </c>
      <c r="U86" s="71" t="s">
        <v>74</v>
      </c>
      <c r="V86" s="33"/>
    </row>
    <row r="87" spans="1:22" ht="20.45" customHeight="1">
      <c r="A87" s="104"/>
      <c r="B87" s="71" t="s">
        <v>263</v>
      </c>
      <c r="C87" s="66" t="s">
        <v>149</v>
      </c>
      <c r="D87" s="66" t="s">
        <v>42</v>
      </c>
      <c r="E87" s="81" t="s">
        <v>276</v>
      </c>
      <c r="F87" s="71" t="s">
        <v>265</v>
      </c>
      <c r="G87" s="66" t="s">
        <v>277</v>
      </c>
      <c r="H87" s="66">
        <v>0.3</v>
      </c>
      <c r="I87" s="66"/>
      <c r="J87" s="66"/>
      <c r="K87" s="2">
        <v>105000000</v>
      </c>
      <c r="L87" s="69">
        <v>11817450</v>
      </c>
      <c r="M87" s="69">
        <f>+K87+L87</f>
        <v>116817450</v>
      </c>
      <c r="N87" s="69" t="s">
        <v>73</v>
      </c>
      <c r="O87" s="66" t="s">
        <v>114</v>
      </c>
      <c r="P87" s="66">
        <v>2025</v>
      </c>
      <c r="Q87" s="66" t="s">
        <v>38</v>
      </c>
      <c r="R87" s="66"/>
      <c r="S87" s="66"/>
      <c r="T87" s="80">
        <v>1</v>
      </c>
      <c r="U87" s="71" t="s">
        <v>278</v>
      </c>
      <c r="V87" s="33"/>
    </row>
    <row r="88" spans="1:22" ht="13.9">
      <c r="A88" s="104"/>
      <c r="B88" s="71" t="s">
        <v>263</v>
      </c>
      <c r="C88" s="66" t="s">
        <v>149</v>
      </c>
      <c r="D88" s="66" t="s">
        <v>42</v>
      </c>
      <c r="E88" s="81">
        <v>2024051070040</v>
      </c>
      <c r="F88" s="71" t="s">
        <v>279</v>
      </c>
      <c r="G88" s="71" t="s">
        <v>280</v>
      </c>
      <c r="H88" s="71">
        <v>0.78200000000000003</v>
      </c>
      <c r="I88" s="71"/>
      <c r="J88" s="71"/>
      <c r="K88" s="79">
        <v>1316604672</v>
      </c>
      <c r="L88" s="79">
        <v>329151168</v>
      </c>
      <c r="M88" s="3">
        <f>+K88+L88</f>
        <v>1645755840</v>
      </c>
      <c r="N88" s="2" t="s">
        <v>37</v>
      </c>
      <c r="O88" s="2" t="s">
        <v>135</v>
      </c>
      <c r="P88" s="71">
        <v>2024</v>
      </c>
      <c r="Q88" s="71" t="s">
        <v>52</v>
      </c>
      <c r="R88" s="71"/>
      <c r="S88" s="71"/>
      <c r="T88" s="80">
        <v>1</v>
      </c>
      <c r="U88" s="71" t="s">
        <v>69</v>
      </c>
      <c r="V88" s="33"/>
    </row>
    <row r="89" spans="1:22" ht="13.9">
      <c r="A89" s="104"/>
      <c r="B89" s="71" t="s">
        <v>263</v>
      </c>
      <c r="C89" s="66" t="s">
        <v>149</v>
      </c>
      <c r="D89" s="66" t="s">
        <v>42</v>
      </c>
      <c r="E89" s="81">
        <v>2025003050051</v>
      </c>
      <c r="F89" s="71" t="s">
        <v>281</v>
      </c>
      <c r="G89" s="71" t="s">
        <v>76</v>
      </c>
      <c r="H89" s="71">
        <v>1</v>
      </c>
      <c r="I89" s="71"/>
      <c r="J89" s="71"/>
      <c r="K89" s="79">
        <v>1850000000</v>
      </c>
      <c r="L89" s="79">
        <v>414647460</v>
      </c>
      <c r="M89" s="3">
        <f>+K89+L89</f>
        <v>2264647460</v>
      </c>
      <c r="N89" s="2" t="s">
        <v>37</v>
      </c>
      <c r="O89" s="2" t="s">
        <v>78</v>
      </c>
      <c r="P89" s="71">
        <v>2026</v>
      </c>
      <c r="Q89" s="71" t="s">
        <v>30</v>
      </c>
      <c r="R89" s="71"/>
      <c r="S89" s="71"/>
      <c r="T89" s="80">
        <v>0</v>
      </c>
      <c r="U89" s="71"/>
      <c r="V89" s="33"/>
    </row>
    <row r="90" spans="1:22" ht="18" customHeight="1">
      <c r="A90" s="104"/>
      <c r="B90" s="66" t="s">
        <v>263</v>
      </c>
      <c r="C90" s="66" t="s">
        <v>149</v>
      </c>
      <c r="D90" s="66" t="s">
        <v>23</v>
      </c>
      <c r="E90" s="81"/>
      <c r="F90" s="66" t="s">
        <v>282</v>
      </c>
      <c r="G90" s="66"/>
      <c r="H90" s="66"/>
      <c r="I90" s="66"/>
      <c r="J90" s="66"/>
      <c r="K90" s="2">
        <v>562867455</v>
      </c>
      <c r="L90" s="66">
        <v>0</v>
      </c>
      <c r="M90" s="69">
        <f>+K90</f>
        <v>562867455</v>
      </c>
      <c r="N90" s="66" t="s">
        <v>28</v>
      </c>
      <c r="O90" s="66" t="s">
        <v>78</v>
      </c>
      <c r="P90" s="66">
        <v>2025</v>
      </c>
      <c r="Q90" s="66" t="s">
        <v>99</v>
      </c>
      <c r="R90" s="66"/>
      <c r="S90" s="66"/>
      <c r="T90" s="66"/>
      <c r="U90" s="66" t="s">
        <v>99</v>
      </c>
      <c r="V90" s="33"/>
    </row>
    <row r="91" spans="1:22" ht="43.9" customHeight="1">
      <c r="A91" s="104"/>
      <c r="B91" s="71" t="s">
        <v>283</v>
      </c>
      <c r="C91" s="66" t="s">
        <v>41</v>
      </c>
      <c r="D91" s="66" t="s">
        <v>174</v>
      </c>
      <c r="E91" s="81">
        <v>2026003050020</v>
      </c>
      <c r="F91" s="71" t="s">
        <v>284</v>
      </c>
      <c r="G91" s="71" t="s">
        <v>285</v>
      </c>
      <c r="H91" s="71" t="s">
        <v>285</v>
      </c>
      <c r="I91" s="71"/>
      <c r="J91" s="71"/>
      <c r="K91" s="90"/>
      <c r="L91" s="90">
        <v>0</v>
      </c>
      <c r="M91" s="90"/>
      <c r="N91" s="93" t="s">
        <v>37</v>
      </c>
      <c r="O91" s="93" t="s">
        <v>29</v>
      </c>
      <c r="P91" s="93">
        <v>2026</v>
      </c>
      <c r="Q91" s="94" t="s">
        <v>129</v>
      </c>
      <c r="R91" s="71"/>
      <c r="S91" s="71"/>
      <c r="T91" s="95">
        <v>0</v>
      </c>
      <c r="U91" s="94" t="s">
        <v>286</v>
      </c>
      <c r="V91" s="33"/>
    </row>
    <row r="92" spans="1:22" ht="40.9" hidden="1" customHeight="1">
      <c r="A92" s="104"/>
      <c r="B92" s="71" t="s">
        <v>283</v>
      </c>
      <c r="C92" s="66" t="s">
        <v>41</v>
      </c>
      <c r="D92" s="66" t="s">
        <v>174</v>
      </c>
      <c r="E92" s="81" t="s">
        <v>62</v>
      </c>
      <c r="F92" s="71" t="s">
        <v>287</v>
      </c>
      <c r="G92" s="71" t="s">
        <v>288</v>
      </c>
      <c r="H92" s="71" t="s">
        <v>288</v>
      </c>
      <c r="I92" s="71"/>
      <c r="J92" s="71"/>
      <c r="K92" s="91"/>
      <c r="L92" s="91"/>
      <c r="M92" s="91"/>
      <c r="N92" s="93"/>
      <c r="O92" s="93"/>
      <c r="P92" s="93"/>
      <c r="Q92" s="94"/>
      <c r="R92" s="71"/>
      <c r="S92" s="71"/>
      <c r="T92" s="95"/>
      <c r="U92" s="94"/>
    </row>
    <row r="93" spans="1:22" ht="18" hidden="1" customHeight="1">
      <c r="A93" s="104"/>
      <c r="B93" s="71" t="s">
        <v>283</v>
      </c>
      <c r="C93" s="66" t="s">
        <v>41</v>
      </c>
      <c r="D93" s="66" t="s">
        <v>42</v>
      </c>
      <c r="E93" s="81">
        <v>4600016169</v>
      </c>
      <c r="F93" s="71" t="s">
        <v>289</v>
      </c>
      <c r="G93" s="71" t="s">
        <v>168</v>
      </c>
      <c r="H93" s="71">
        <v>2.4</v>
      </c>
      <c r="I93" s="71"/>
      <c r="J93" s="71"/>
      <c r="K93" s="91"/>
      <c r="L93" s="91"/>
      <c r="M93" s="91"/>
      <c r="N93" s="66" t="s">
        <v>28</v>
      </c>
      <c r="O93" s="66" t="s">
        <v>51</v>
      </c>
      <c r="P93" s="71">
        <v>2023</v>
      </c>
      <c r="Q93" s="71" t="s">
        <v>52</v>
      </c>
      <c r="R93" s="71"/>
      <c r="S93" s="71"/>
      <c r="T93" s="80">
        <v>1</v>
      </c>
      <c r="U93" s="71" t="s">
        <v>69</v>
      </c>
    </row>
    <row r="94" spans="1:22" ht="18" customHeight="1">
      <c r="A94" s="104"/>
      <c r="B94" s="71" t="s">
        <v>283</v>
      </c>
      <c r="C94" s="66" t="s">
        <v>41</v>
      </c>
      <c r="D94" s="66" t="s">
        <v>23</v>
      </c>
      <c r="E94" s="81"/>
      <c r="F94" s="71" t="s">
        <v>208</v>
      </c>
      <c r="G94" s="71" t="s">
        <v>290</v>
      </c>
      <c r="H94" s="71">
        <v>24.5</v>
      </c>
      <c r="I94" s="71"/>
      <c r="J94" s="71"/>
      <c r="K94" s="91"/>
      <c r="L94" s="91"/>
      <c r="M94" s="91"/>
      <c r="N94" s="66" t="s">
        <v>28</v>
      </c>
      <c r="O94" s="66" t="s">
        <v>51</v>
      </c>
      <c r="P94" s="71">
        <v>2024</v>
      </c>
      <c r="Q94" s="71" t="s">
        <v>52</v>
      </c>
      <c r="R94" s="71"/>
      <c r="S94" s="71"/>
      <c r="T94" s="80">
        <v>1</v>
      </c>
      <c r="U94" s="71" t="s">
        <v>69</v>
      </c>
    </row>
    <row r="95" spans="1:22" ht="20.45" customHeight="1">
      <c r="A95" s="104"/>
      <c r="B95" s="71" t="s">
        <v>283</v>
      </c>
      <c r="C95" s="66" t="s">
        <v>41</v>
      </c>
      <c r="D95" s="66" t="s">
        <v>42</v>
      </c>
      <c r="E95" s="81" t="s">
        <v>146</v>
      </c>
      <c r="F95" s="71" t="s">
        <v>80</v>
      </c>
      <c r="G95" s="66" t="s">
        <v>76</v>
      </c>
      <c r="H95" s="66">
        <v>1</v>
      </c>
      <c r="I95" s="66"/>
      <c r="J95" s="66"/>
      <c r="K95" s="91"/>
      <c r="L95" s="91"/>
      <c r="M95" s="91"/>
      <c r="N95" s="66" t="s">
        <v>147</v>
      </c>
      <c r="O95" s="66" t="s">
        <v>51</v>
      </c>
      <c r="P95" s="66">
        <v>2024</v>
      </c>
      <c r="Q95" s="66" t="s">
        <v>52</v>
      </c>
      <c r="R95" s="66"/>
      <c r="S95" s="66"/>
      <c r="T95" s="70">
        <v>0.83</v>
      </c>
      <c r="U95" s="66" t="s">
        <v>30</v>
      </c>
    </row>
    <row r="96" spans="1:22" ht="20.45" hidden="1" customHeight="1">
      <c r="A96" s="104"/>
      <c r="B96" s="71" t="s">
        <v>291</v>
      </c>
      <c r="C96" s="66" t="s">
        <v>292</v>
      </c>
      <c r="D96" s="66" t="s">
        <v>42</v>
      </c>
      <c r="E96" s="81">
        <v>2026003050005</v>
      </c>
      <c r="F96" s="71" t="s">
        <v>75</v>
      </c>
      <c r="G96" s="66"/>
      <c r="H96" s="66"/>
      <c r="I96" s="66"/>
      <c r="J96" s="66"/>
      <c r="K96" s="91"/>
      <c r="L96" s="91"/>
      <c r="M96" s="91"/>
      <c r="N96" s="66"/>
      <c r="O96" s="66"/>
      <c r="P96" s="66"/>
      <c r="Q96" s="66"/>
      <c r="R96" s="66"/>
      <c r="S96" s="66"/>
      <c r="T96" s="70"/>
      <c r="U96" s="66"/>
    </row>
    <row r="97" spans="1:21" ht="61.15" customHeight="1">
      <c r="A97" s="104"/>
      <c r="B97" s="71" t="s">
        <v>291</v>
      </c>
      <c r="C97" s="66" t="s">
        <v>292</v>
      </c>
      <c r="D97" s="66" t="s">
        <v>23</v>
      </c>
      <c r="E97" s="81" t="s">
        <v>293</v>
      </c>
      <c r="F97" s="71" t="s">
        <v>101</v>
      </c>
      <c r="G97" s="66" t="s">
        <v>294</v>
      </c>
      <c r="H97" s="66">
        <v>25</v>
      </c>
      <c r="I97" s="66" t="s">
        <v>26</v>
      </c>
      <c r="J97" s="66" t="s">
        <v>27</v>
      </c>
      <c r="K97" s="91"/>
      <c r="L97" s="91"/>
      <c r="M97" s="91"/>
      <c r="N97" s="66" t="s">
        <v>28</v>
      </c>
      <c r="O97" s="66" t="s">
        <v>96</v>
      </c>
      <c r="P97" s="66">
        <v>2025</v>
      </c>
      <c r="Q97" s="66" t="s">
        <v>30</v>
      </c>
      <c r="R97" s="85"/>
      <c r="S97" s="87"/>
      <c r="T97" s="80"/>
      <c r="U97" s="71" t="s">
        <v>295</v>
      </c>
    </row>
    <row r="98" spans="1:21" ht="99.6" customHeight="1">
      <c r="A98" s="104"/>
      <c r="B98" s="71" t="s">
        <v>291</v>
      </c>
      <c r="C98" s="66" t="s">
        <v>292</v>
      </c>
      <c r="D98" s="66" t="s">
        <v>174</v>
      </c>
      <c r="E98" s="81">
        <v>20230214000110</v>
      </c>
      <c r="F98" s="71" t="s">
        <v>296</v>
      </c>
      <c r="G98" s="66" t="s">
        <v>297</v>
      </c>
      <c r="H98" s="66">
        <v>0.25</v>
      </c>
      <c r="I98" s="66" t="s">
        <v>88</v>
      </c>
      <c r="J98" s="66" t="s">
        <v>162</v>
      </c>
      <c r="K98" s="91"/>
      <c r="L98" s="91"/>
      <c r="M98" s="91"/>
      <c r="N98" s="66" t="s">
        <v>98</v>
      </c>
      <c r="O98" s="66" t="s">
        <v>298</v>
      </c>
      <c r="P98" s="66">
        <v>2025</v>
      </c>
      <c r="Q98" s="66" t="s">
        <v>30</v>
      </c>
      <c r="R98" s="66"/>
      <c r="S98" s="66"/>
      <c r="T98" s="70">
        <v>0</v>
      </c>
      <c r="U98" s="71" t="s">
        <v>299</v>
      </c>
    </row>
    <row r="99" spans="1:21" ht="17.45" customHeight="1">
      <c r="A99" s="104"/>
      <c r="B99" s="71" t="s">
        <v>300</v>
      </c>
      <c r="C99" s="66" t="s">
        <v>41</v>
      </c>
      <c r="D99" s="66" t="s">
        <v>42</v>
      </c>
      <c r="E99" s="81" t="s">
        <v>146</v>
      </c>
      <c r="F99" s="71" t="s">
        <v>265</v>
      </c>
      <c r="G99" s="66" t="s">
        <v>76</v>
      </c>
      <c r="H99" s="66">
        <v>1</v>
      </c>
      <c r="I99" s="66"/>
      <c r="J99" s="66"/>
      <c r="K99" s="91"/>
      <c r="L99" s="91"/>
      <c r="M99" s="91"/>
      <c r="N99" s="66" t="s">
        <v>147</v>
      </c>
      <c r="O99" s="66" t="s">
        <v>51</v>
      </c>
      <c r="P99" s="66">
        <v>2024</v>
      </c>
      <c r="Q99" s="66" t="s">
        <v>52</v>
      </c>
      <c r="R99" s="66"/>
      <c r="S99" s="66"/>
      <c r="T99" s="70">
        <v>1</v>
      </c>
      <c r="U99" s="66" t="s">
        <v>69</v>
      </c>
    </row>
    <row r="100" spans="1:21" ht="17.45" customHeight="1">
      <c r="A100" s="104"/>
      <c r="B100" s="71" t="s">
        <v>300</v>
      </c>
      <c r="C100" s="66" t="s">
        <v>41</v>
      </c>
      <c r="D100" s="66" t="s">
        <v>42</v>
      </c>
      <c r="E100" s="81" t="s">
        <v>301</v>
      </c>
      <c r="F100" s="71" t="s">
        <v>265</v>
      </c>
      <c r="G100" s="66" t="s">
        <v>141</v>
      </c>
      <c r="H100" s="66">
        <v>0.2</v>
      </c>
      <c r="I100" s="66"/>
      <c r="J100" s="66"/>
      <c r="K100" s="91"/>
      <c r="L100" s="91"/>
      <c r="M100" s="91"/>
      <c r="N100" s="66" t="s">
        <v>73</v>
      </c>
      <c r="O100" s="66" t="s">
        <v>51</v>
      </c>
      <c r="P100" s="66">
        <v>2025</v>
      </c>
      <c r="Q100" s="66" t="s">
        <v>38</v>
      </c>
      <c r="R100" s="66"/>
      <c r="S100" s="66"/>
      <c r="T100" s="70">
        <v>1</v>
      </c>
      <c r="U100" s="66" t="s">
        <v>74</v>
      </c>
    </row>
    <row r="101" spans="1:21" ht="53.45" customHeight="1">
      <c r="A101" s="104"/>
      <c r="B101" s="71" t="s">
        <v>300</v>
      </c>
      <c r="C101" s="66" t="s">
        <v>41</v>
      </c>
      <c r="D101" s="66" t="s">
        <v>174</v>
      </c>
      <c r="E101" s="81">
        <v>2026003050020</v>
      </c>
      <c r="F101" s="66" t="s">
        <v>302</v>
      </c>
      <c r="G101" s="71" t="s">
        <v>303</v>
      </c>
      <c r="H101" s="71" t="s">
        <v>303</v>
      </c>
      <c r="I101" s="71"/>
      <c r="J101" s="71"/>
      <c r="K101" s="92"/>
      <c r="L101" s="92"/>
      <c r="M101" s="92"/>
      <c r="N101" s="66" t="s">
        <v>37</v>
      </c>
      <c r="O101" s="66" t="s">
        <v>78</v>
      </c>
      <c r="P101" s="66">
        <v>2026</v>
      </c>
      <c r="Q101" s="66" t="s">
        <v>177</v>
      </c>
      <c r="R101" s="66"/>
      <c r="S101" s="66"/>
      <c r="T101" s="70">
        <v>0</v>
      </c>
      <c r="U101" s="71" t="s">
        <v>304</v>
      </c>
    </row>
    <row r="102" spans="1:21" ht="53.45" customHeight="1">
      <c r="A102" s="104"/>
      <c r="B102" s="71" t="s">
        <v>300</v>
      </c>
      <c r="C102" s="66" t="s">
        <v>41</v>
      </c>
      <c r="D102" s="66" t="s">
        <v>42</v>
      </c>
      <c r="E102" s="81" t="s">
        <v>305</v>
      </c>
      <c r="F102" s="66" t="s">
        <v>306</v>
      </c>
      <c r="G102" s="71" t="s">
        <v>204</v>
      </c>
      <c r="H102" s="71">
        <v>0.1</v>
      </c>
      <c r="I102" s="71"/>
      <c r="J102" s="71"/>
      <c r="K102" s="9">
        <v>122499990</v>
      </c>
      <c r="L102" s="43">
        <v>13131454</v>
      </c>
      <c r="M102" s="9">
        <f>+K102+L102</f>
        <v>135631444</v>
      </c>
      <c r="N102" s="66" t="s">
        <v>28</v>
      </c>
      <c r="O102" s="66" t="s">
        <v>51</v>
      </c>
      <c r="P102" s="66">
        <v>2025</v>
      </c>
      <c r="Q102" s="66" t="s">
        <v>52</v>
      </c>
      <c r="R102" s="66"/>
      <c r="S102" s="66"/>
      <c r="T102" s="70">
        <v>1</v>
      </c>
      <c r="U102" s="66" t="s">
        <v>74</v>
      </c>
    </row>
    <row r="103" spans="1:21" ht="53.45" customHeight="1">
      <c r="A103" s="104"/>
      <c r="B103" s="71" t="s">
        <v>300</v>
      </c>
      <c r="C103" s="66" t="s">
        <v>41</v>
      </c>
      <c r="D103" s="66" t="s">
        <v>23</v>
      </c>
      <c r="E103" s="81"/>
      <c r="F103" s="71" t="s">
        <v>160</v>
      </c>
      <c r="G103" s="71" t="s">
        <v>307</v>
      </c>
      <c r="H103" s="71">
        <v>12</v>
      </c>
      <c r="I103" s="71"/>
      <c r="J103" s="71"/>
      <c r="K103" s="2" t="s">
        <v>162</v>
      </c>
      <c r="L103" s="69" t="s">
        <v>162</v>
      </c>
      <c r="M103" s="2" t="s">
        <v>162</v>
      </c>
      <c r="N103" s="66" t="s">
        <v>98</v>
      </c>
      <c r="O103" s="66" t="s">
        <v>78</v>
      </c>
      <c r="P103" s="66">
        <v>2025</v>
      </c>
      <c r="Q103" s="66" t="s">
        <v>30</v>
      </c>
      <c r="R103" s="66"/>
      <c r="S103" s="66"/>
      <c r="T103" s="70"/>
      <c r="U103" s="66" t="s">
        <v>163</v>
      </c>
    </row>
    <row r="104" spans="1:21" ht="53.45" hidden="1" customHeight="1">
      <c r="A104" s="104"/>
      <c r="B104" s="71" t="s">
        <v>300</v>
      </c>
      <c r="C104" s="66" t="s">
        <v>41</v>
      </c>
      <c r="D104" s="66" t="s">
        <v>42</v>
      </c>
      <c r="E104" s="81">
        <v>2022003050065</v>
      </c>
      <c r="F104" s="71" t="s">
        <v>308</v>
      </c>
      <c r="G104" s="71"/>
      <c r="H104" s="71"/>
      <c r="I104" s="71"/>
      <c r="J104" s="71"/>
      <c r="K104" s="2">
        <v>1500000000</v>
      </c>
      <c r="L104" s="69">
        <v>368355877</v>
      </c>
      <c r="M104" s="2">
        <f>+K104+L104</f>
        <v>1868355877</v>
      </c>
      <c r="N104" s="66" t="s">
        <v>37</v>
      </c>
      <c r="O104" s="66" t="s">
        <v>78</v>
      </c>
      <c r="P104" s="66">
        <v>2022</v>
      </c>
      <c r="Q104" s="66" t="s">
        <v>30</v>
      </c>
      <c r="R104" s="66"/>
      <c r="S104" s="66"/>
      <c r="T104" s="70">
        <v>0.92391000000000001</v>
      </c>
      <c r="U104" s="66" t="s">
        <v>30</v>
      </c>
    </row>
    <row r="105" spans="1:21" ht="53.45" customHeight="1">
      <c r="A105" s="104"/>
      <c r="B105" s="71" t="s">
        <v>300</v>
      </c>
      <c r="C105" s="66" t="s">
        <v>41</v>
      </c>
      <c r="D105" s="66" t="s">
        <v>42</v>
      </c>
      <c r="E105" s="81">
        <v>2025003050032</v>
      </c>
      <c r="F105" s="71" t="s">
        <v>309</v>
      </c>
      <c r="G105" s="71" t="s">
        <v>76</v>
      </c>
      <c r="H105" s="71">
        <v>1</v>
      </c>
      <c r="I105" s="71"/>
      <c r="J105" s="71"/>
      <c r="K105" s="2">
        <v>1668919343</v>
      </c>
      <c r="L105" s="69">
        <v>400000000</v>
      </c>
      <c r="M105" s="2">
        <f>+K105+L105</f>
        <v>2068919343</v>
      </c>
      <c r="N105" s="66" t="s">
        <v>37</v>
      </c>
      <c r="O105" s="66" t="s">
        <v>78</v>
      </c>
      <c r="P105" s="66">
        <v>2026</v>
      </c>
      <c r="Q105" s="66" t="s">
        <v>30</v>
      </c>
      <c r="R105" s="66"/>
      <c r="S105" s="66"/>
      <c r="T105" s="70">
        <v>0.23</v>
      </c>
      <c r="U105" s="66"/>
    </row>
    <row r="106" spans="1:21" ht="34.5" customHeight="1">
      <c r="A106" s="104"/>
      <c r="B106" s="71" t="s">
        <v>300</v>
      </c>
      <c r="C106" s="66" t="s">
        <v>41</v>
      </c>
      <c r="D106" s="66" t="s">
        <v>119</v>
      </c>
      <c r="E106" s="81"/>
      <c r="F106" s="71" t="s">
        <v>310</v>
      </c>
      <c r="G106" s="66" t="s">
        <v>311</v>
      </c>
      <c r="H106" s="66" t="s">
        <v>311</v>
      </c>
      <c r="I106" s="66"/>
      <c r="J106" s="66"/>
      <c r="K106" s="2">
        <v>2782512541</v>
      </c>
      <c r="L106" s="2">
        <v>13982475</v>
      </c>
      <c r="M106" s="2">
        <f>+K106+L106</f>
        <v>2796495016</v>
      </c>
      <c r="N106" s="66" t="s">
        <v>28</v>
      </c>
      <c r="O106" s="66" t="s">
        <v>51</v>
      </c>
      <c r="P106" s="66">
        <v>2024</v>
      </c>
      <c r="Q106" s="66" t="s">
        <v>52</v>
      </c>
      <c r="R106" s="66"/>
      <c r="S106" s="66"/>
      <c r="T106" s="70">
        <v>1</v>
      </c>
      <c r="U106" s="66" t="s">
        <v>69</v>
      </c>
    </row>
    <row r="107" spans="1:21" ht="96.6" hidden="1">
      <c r="A107" s="104"/>
      <c r="B107" s="71" t="s">
        <v>312</v>
      </c>
      <c r="C107" s="66" t="s">
        <v>224</v>
      </c>
      <c r="D107" s="66" t="s">
        <v>23</v>
      </c>
      <c r="E107" s="81"/>
      <c r="F107" s="71" t="s">
        <v>313</v>
      </c>
      <c r="G107" s="71" t="s">
        <v>314</v>
      </c>
      <c r="H107" s="71" t="s">
        <v>315</v>
      </c>
      <c r="I107" s="71"/>
      <c r="J107" s="71"/>
      <c r="K107" s="69">
        <v>6675996122</v>
      </c>
      <c r="L107" s="69">
        <v>0</v>
      </c>
      <c r="M107" s="69">
        <v>6675996122</v>
      </c>
      <c r="N107" s="71" t="s">
        <v>316</v>
      </c>
      <c r="O107" s="66" t="s">
        <v>51</v>
      </c>
      <c r="P107" s="66">
        <v>2025</v>
      </c>
      <c r="Q107" s="66" t="s">
        <v>156</v>
      </c>
      <c r="R107" s="66"/>
      <c r="S107" s="66"/>
      <c r="T107" s="66"/>
      <c r="U107" s="71" t="s">
        <v>317</v>
      </c>
    </row>
    <row r="108" spans="1:21" ht="122.45" customHeight="1">
      <c r="A108" s="104"/>
      <c r="B108" s="71" t="s">
        <v>318</v>
      </c>
      <c r="C108" s="66" t="s">
        <v>149</v>
      </c>
      <c r="D108" s="66" t="s">
        <v>23</v>
      </c>
      <c r="E108" s="81"/>
      <c r="F108" s="71" t="s">
        <v>319</v>
      </c>
      <c r="G108" s="66" t="s">
        <v>165</v>
      </c>
      <c r="H108" s="66">
        <v>4</v>
      </c>
      <c r="I108" s="66"/>
      <c r="J108" s="66"/>
      <c r="K108" s="69"/>
      <c r="L108" s="69"/>
      <c r="M108" s="69">
        <v>19084737249</v>
      </c>
      <c r="N108" s="69" t="s">
        <v>98</v>
      </c>
      <c r="O108" s="66" t="s">
        <v>62</v>
      </c>
      <c r="P108" s="66">
        <v>2024</v>
      </c>
      <c r="Q108" s="66"/>
      <c r="R108" s="66"/>
      <c r="S108" s="66"/>
      <c r="T108" s="66"/>
      <c r="U108" s="66" t="s">
        <v>320</v>
      </c>
    </row>
    <row r="109" spans="1:21" ht="13.9">
      <c r="A109" s="104"/>
      <c r="B109" s="71" t="s">
        <v>318</v>
      </c>
      <c r="C109" s="66" t="s">
        <v>149</v>
      </c>
      <c r="D109" s="66" t="s">
        <v>42</v>
      </c>
      <c r="E109" s="81">
        <v>2025003050049</v>
      </c>
      <c r="F109" s="71" t="s">
        <v>321</v>
      </c>
      <c r="G109" s="66" t="s">
        <v>76</v>
      </c>
      <c r="H109" s="66">
        <v>1</v>
      </c>
      <c r="I109" s="66"/>
      <c r="J109" s="66"/>
      <c r="K109" s="69">
        <v>2156349509</v>
      </c>
      <c r="L109" s="69">
        <v>0</v>
      </c>
      <c r="M109" s="69">
        <f>+K109</f>
        <v>2156349509</v>
      </c>
      <c r="N109" s="69" t="s">
        <v>220</v>
      </c>
      <c r="O109" s="66" t="s">
        <v>135</v>
      </c>
      <c r="P109" s="66">
        <v>2026</v>
      </c>
      <c r="Q109" s="66" t="s">
        <v>30</v>
      </c>
      <c r="R109" s="66"/>
      <c r="S109" s="66"/>
      <c r="T109" s="66"/>
      <c r="U109" s="66"/>
    </row>
    <row r="110" spans="1:21" ht="13.9">
      <c r="A110" s="104"/>
      <c r="B110" s="71" t="s">
        <v>318</v>
      </c>
      <c r="C110" s="66" t="s">
        <v>149</v>
      </c>
      <c r="D110" s="66" t="s">
        <v>42</v>
      </c>
      <c r="E110" s="81" t="s">
        <v>322</v>
      </c>
      <c r="F110" s="71" t="s">
        <v>80</v>
      </c>
      <c r="G110" s="66" t="s">
        <v>76</v>
      </c>
      <c r="H110" s="66">
        <v>1</v>
      </c>
      <c r="I110" s="66"/>
      <c r="J110" s="66"/>
      <c r="K110" s="69">
        <v>350000000</v>
      </c>
      <c r="L110" s="69">
        <v>359668800</v>
      </c>
      <c r="M110" s="69">
        <f>+K110+L110</f>
        <v>709668800</v>
      </c>
      <c r="N110" s="69" t="s">
        <v>73</v>
      </c>
      <c r="O110" s="66" t="s">
        <v>51</v>
      </c>
      <c r="P110" s="66">
        <v>2024</v>
      </c>
      <c r="Q110" s="66" t="s">
        <v>30</v>
      </c>
      <c r="R110" s="66"/>
      <c r="S110" s="66"/>
      <c r="T110" s="80">
        <v>0.8</v>
      </c>
      <c r="U110" s="71"/>
    </row>
    <row r="111" spans="1:21" ht="60.6" customHeight="1">
      <c r="A111" s="104"/>
      <c r="B111" s="71" t="s">
        <v>323</v>
      </c>
      <c r="C111" s="66" t="s">
        <v>292</v>
      </c>
      <c r="D111" s="66" t="s">
        <v>42</v>
      </c>
      <c r="E111" s="81">
        <v>2025003050013</v>
      </c>
      <c r="F111" s="71" t="s">
        <v>324</v>
      </c>
      <c r="G111" s="66" t="s">
        <v>76</v>
      </c>
      <c r="H111" s="66">
        <v>1</v>
      </c>
      <c r="I111" s="66" t="s">
        <v>88</v>
      </c>
      <c r="J111" s="66" t="s">
        <v>162</v>
      </c>
      <c r="K111" s="69">
        <v>1599805063</v>
      </c>
      <c r="L111" s="69">
        <v>399951266</v>
      </c>
      <c r="M111" s="69">
        <f>+K111+L111</f>
        <v>1999756329</v>
      </c>
      <c r="N111" s="2" t="s">
        <v>37</v>
      </c>
      <c r="O111" s="2" t="s">
        <v>45</v>
      </c>
      <c r="P111" s="66">
        <v>2025</v>
      </c>
      <c r="Q111" s="66" t="s">
        <v>30</v>
      </c>
      <c r="R111" s="66"/>
      <c r="S111" s="66"/>
      <c r="T111" s="80">
        <v>0.48859999999999998</v>
      </c>
      <c r="U111" s="71"/>
    </row>
    <row r="112" spans="1:21" ht="13.9">
      <c r="A112" s="104"/>
      <c r="B112" s="71" t="s">
        <v>325</v>
      </c>
      <c r="C112" s="66" t="s">
        <v>41</v>
      </c>
      <c r="D112" s="66" t="s">
        <v>119</v>
      </c>
      <c r="E112" s="81"/>
      <c r="F112" s="71" t="s">
        <v>326</v>
      </c>
      <c r="G112" s="66" t="s">
        <v>327</v>
      </c>
      <c r="H112" s="66" t="s">
        <v>327</v>
      </c>
      <c r="I112" s="66"/>
      <c r="J112" s="66"/>
      <c r="K112" s="69">
        <v>268000000</v>
      </c>
      <c r="L112" s="69">
        <v>0</v>
      </c>
      <c r="M112" s="69">
        <f>+K112</f>
        <v>268000000</v>
      </c>
      <c r="N112" s="66" t="s">
        <v>142</v>
      </c>
      <c r="O112" s="66"/>
      <c r="P112" s="66">
        <v>2024</v>
      </c>
      <c r="Q112" s="66" t="s">
        <v>52</v>
      </c>
      <c r="R112" s="66"/>
      <c r="S112" s="66"/>
      <c r="T112" s="80">
        <v>1</v>
      </c>
      <c r="U112" s="71" t="s">
        <v>69</v>
      </c>
    </row>
    <row r="113" spans="1:21" ht="13.9">
      <c r="A113" s="104"/>
      <c r="B113" s="71" t="s">
        <v>325</v>
      </c>
      <c r="C113" s="66" t="s">
        <v>41</v>
      </c>
      <c r="D113" s="66" t="s">
        <v>119</v>
      </c>
      <c r="E113" s="81"/>
      <c r="F113" s="71" t="s">
        <v>328</v>
      </c>
      <c r="G113" s="66" t="s">
        <v>329</v>
      </c>
      <c r="H113" s="66" t="s">
        <v>329</v>
      </c>
      <c r="I113" s="66"/>
      <c r="J113" s="66"/>
      <c r="K113" s="69">
        <v>1499306597</v>
      </c>
      <c r="L113" s="69">
        <v>0</v>
      </c>
      <c r="M113" s="69">
        <f>+K113</f>
        <v>1499306597</v>
      </c>
      <c r="N113" s="66" t="s">
        <v>330</v>
      </c>
      <c r="O113" s="66" t="s">
        <v>51</v>
      </c>
      <c r="P113" s="66">
        <v>2024</v>
      </c>
      <c r="Q113" s="66" t="s">
        <v>52</v>
      </c>
      <c r="R113" s="66"/>
      <c r="S113" s="66"/>
      <c r="T113" s="80"/>
      <c r="U113" s="71" t="s">
        <v>38</v>
      </c>
    </row>
    <row r="114" spans="1:21" ht="41.45" hidden="1">
      <c r="A114" s="104"/>
      <c r="B114" s="71" t="s">
        <v>325</v>
      </c>
      <c r="C114" s="66" t="s">
        <v>41</v>
      </c>
      <c r="D114" s="66" t="s">
        <v>23</v>
      </c>
      <c r="E114" s="81"/>
      <c r="F114" s="71" t="s">
        <v>331</v>
      </c>
      <c r="G114" s="71" t="s">
        <v>332</v>
      </c>
      <c r="H114" s="71" t="s">
        <v>333</v>
      </c>
      <c r="I114" s="71"/>
      <c r="J114" s="71"/>
      <c r="K114" s="69"/>
      <c r="L114" s="69"/>
      <c r="M114" s="69"/>
      <c r="N114" s="66"/>
      <c r="O114" s="66"/>
      <c r="P114" s="66"/>
      <c r="Q114" s="66" t="s">
        <v>30</v>
      </c>
      <c r="R114" s="66"/>
      <c r="S114" s="66"/>
      <c r="T114" s="80">
        <v>0.7</v>
      </c>
      <c r="U114" s="71" t="s">
        <v>30</v>
      </c>
    </row>
    <row r="115" spans="1:21" ht="22.9" customHeight="1">
      <c r="A115" s="104"/>
      <c r="B115" s="71" t="s">
        <v>325</v>
      </c>
      <c r="C115" s="66" t="s">
        <v>41</v>
      </c>
      <c r="D115" s="66" t="s">
        <v>42</v>
      </c>
      <c r="E115" s="81" t="s">
        <v>334</v>
      </c>
      <c r="F115" s="71" t="s">
        <v>80</v>
      </c>
      <c r="G115" s="66" t="s">
        <v>76</v>
      </c>
      <c r="H115" s="66">
        <v>1</v>
      </c>
      <c r="I115" s="66"/>
      <c r="J115" s="66"/>
      <c r="K115" s="2">
        <v>350000000</v>
      </c>
      <c r="L115" s="2">
        <v>400000000</v>
      </c>
      <c r="M115" s="69">
        <f>+L115+K115</f>
        <v>750000000</v>
      </c>
      <c r="N115" s="66" t="s">
        <v>73</v>
      </c>
      <c r="O115" s="66" t="s">
        <v>51</v>
      </c>
      <c r="P115" s="66">
        <v>2024</v>
      </c>
      <c r="Q115" s="66" t="s">
        <v>52</v>
      </c>
      <c r="R115" s="66"/>
      <c r="S115" s="66"/>
      <c r="T115" s="80">
        <v>1</v>
      </c>
      <c r="U115" s="71" t="s">
        <v>69</v>
      </c>
    </row>
    <row r="116" spans="1:21" ht="40.9" hidden="1" customHeight="1">
      <c r="A116" s="104"/>
      <c r="B116" s="71" t="s">
        <v>335</v>
      </c>
      <c r="C116" s="71" t="s">
        <v>336</v>
      </c>
      <c r="D116" s="71" t="s">
        <v>23</v>
      </c>
      <c r="E116" s="45">
        <v>4600015399</v>
      </c>
      <c r="F116" s="71" t="s">
        <v>337</v>
      </c>
      <c r="G116" s="66" t="s">
        <v>338</v>
      </c>
      <c r="H116" s="66">
        <v>5.5</v>
      </c>
      <c r="I116" s="66" t="s">
        <v>26</v>
      </c>
      <c r="J116" s="66" t="s">
        <v>55</v>
      </c>
      <c r="K116" s="69">
        <v>16869055975</v>
      </c>
      <c r="L116" s="69">
        <v>0</v>
      </c>
      <c r="M116" s="69">
        <f>+K116</f>
        <v>16869055975</v>
      </c>
      <c r="N116" s="66" t="s">
        <v>37</v>
      </c>
      <c r="O116" s="66" t="s">
        <v>339</v>
      </c>
      <c r="P116" s="66">
        <v>2023</v>
      </c>
      <c r="Q116" s="66" t="s">
        <v>52</v>
      </c>
      <c r="R116" s="66"/>
      <c r="S116" s="66"/>
      <c r="T116" s="40">
        <v>1</v>
      </c>
      <c r="U116" s="66" t="s">
        <v>69</v>
      </c>
    </row>
    <row r="117" spans="1:21" ht="55.15" hidden="1">
      <c r="A117" s="100"/>
      <c r="B117" s="71" t="s">
        <v>340</v>
      </c>
      <c r="C117" s="66" t="s">
        <v>83</v>
      </c>
      <c r="D117" s="66" t="s">
        <v>23</v>
      </c>
      <c r="E117" s="81">
        <v>4600016671</v>
      </c>
      <c r="F117" s="71" t="s">
        <v>341</v>
      </c>
      <c r="G117" s="66" t="s">
        <v>342</v>
      </c>
      <c r="H117" s="66">
        <v>5.7</v>
      </c>
      <c r="I117" s="66"/>
      <c r="J117" s="66"/>
      <c r="K117" s="69">
        <f>+M117</f>
        <v>23184182513</v>
      </c>
      <c r="L117" s="69">
        <v>0</v>
      </c>
      <c r="M117" s="69">
        <v>23184182513</v>
      </c>
      <c r="N117" s="66" t="s">
        <v>37</v>
      </c>
      <c r="O117" s="66" t="s">
        <v>96</v>
      </c>
      <c r="P117" s="66">
        <v>2023</v>
      </c>
      <c r="Q117" s="66" t="s">
        <v>30</v>
      </c>
      <c r="R117" s="66"/>
      <c r="S117" s="66"/>
      <c r="T117" s="40">
        <v>0.92</v>
      </c>
      <c r="U117" s="66" t="s">
        <v>343</v>
      </c>
    </row>
    <row r="118" spans="1:21" ht="13.9">
      <c r="A118" s="72">
        <v>29</v>
      </c>
      <c r="B118" s="71" t="s">
        <v>340</v>
      </c>
      <c r="C118" s="66" t="s">
        <v>83</v>
      </c>
      <c r="D118" s="66" t="s">
        <v>42</v>
      </c>
      <c r="E118" s="81">
        <v>2025003050023</v>
      </c>
      <c r="F118" s="71" t="s">
        <v>344</v>
      </c>
      <c r="G118" s="66" t="s">
        <v>168</v>
      </c>
      <c r="H118" s="66">
        <v>2.48</v>
      </c>
      <c r="I118" s="66"/>
      <c r="J118" s="66"/>
      <c r="K118" s="69">
        <v>4842926067</v>
      </c>
      <c r="L118" s="69">
        <v>0</v>
      </c>
      <c r="M118" s="69">
        <f>+K118+L118</f>
        <v>4842926067</v>
      </c>
      <c r="N118" s="2" t="s">
        <v>37</v>
      </c>
      <c r="O118" s="2" t="s">
        <v>45</v>
      </c>
      <c r="P118" s="66">
        <v>2025</v>
      </c>
      <c r="Q118" s="66" t="s">
        <v>30</v>
      </c>
      <c r="R118" s="66"/>
      <c r="S118" s="66"/>
      <c r="T118" s="40">
        <v>0.84</v>
      </c>
      <c r="U118" s="71"/>
    </row>
    <row r="119" spans="1:21" ht="39.6" customHeight="1">
      <c r="A119" s="93">
        <v>30</v>
      </c>
      <c r="B119" s="71" t="s">
        <v>345</v>
      </c>
      <c r="C119" s="66" t="s">
        <v>181</v>
      </c>
      <c r="D119" s="66" t="s">
        <v>48</v>
      </c>
      <c r="E119" s="81"/>
      <c r="F119" s="71" t="s">
        <v>346</v>
      </c>
      <c r="G119" s="66" t="s">
        <v>76</v>
      </c>
      <c r="H119" s="66">
        <v>1</v>
      </c>
      <c r="I119" s="66"/>
      <c r="J119" s="66"/>
      <c r="K119" s="69">
        <v>2321933361</v>
      </c>
      <c r="L119" s="69">
        <v>0</v>
      </c>
      <c r="M119" s="69">
        <f>+K119</f>
        <v>2321933361</v>
      </c>
      <c r="N119" s="66" t="s">
        <v>28</v>
      </c>
      <c r="O119" s="66" t="s">
        <v>114</v>
      </c>
      <c r="P119" s="66">
        <v>2025</v>
      </c>
      <c r="Q119" s="66" t="s">
        <v>52</v>
      </c>
      <c r="R119" s="66"/>
      <c r="S119" s="66"/>
      <c r="T119" s="40">
        <v>1</v>
      </c>
      <c r="U119" s="71"/>
    </row>
    <row r="120" spans="1:21" ht="13.9">
      <c r="A120" s="93"/>
      <c r="B120" s="71" t="s">
        <v>345</v>
      </c>
      <c r="C120" s="66" t="s">
        <v>181</v>
      </c>
      <c r="D120" s="66" t="s">
        <v>42</v>
      </c>
      <c r="E120" s="81" t="s">
        <v>347</v>
      </c>
      <c r="F120" s="71" t="s">
        <v>80</v>
      </c>
      <c r="G120" s="66" t="s">
        <v>76</v>
      </c>
      <c r="H120" s="66">
        <v>1</v>
      </c>
      <c r="I120" s="66"/>
      <c r="J120" s="66"/>
      <c r="K120" s="2">
        <v>350000000</v>
      </c>
      <c r="L120" s="69">
        <v>172000000</v>
      </c>
      <c r="M120" s="69">
        <f>+K120+L120</f>
        <v>522000000</v>
      </c>
      <c r="N120" s="66" t="s">
        <v>73</v>
      </c>
      <c r="O120" s="66" t="s">
        <v>51</v>
      </c>
      <c r="P120" s="66">
        <v>2024</v>
      </c>
      <c r="Q120" s="66" t="s">
        <v>30</v>
      </c>
      <c r="R120" s="66"/>
      <c r="S120" s="66"/>
      <c r="T120" s="70">
        <v>0.8</v>
      </c>
      <c r="U120" s="66"/>
    </row>
    <row r="121" spans="1:21" ht="37.15" customHeight="1">
      <c r="A121" s="109">
        <v>31</v>
      </c>
      <c r="B121" s="71" t="s">
        <v>348</v>
      </c>
      <c r="C121" s="66" t="s">
        <v>149</v>
      </c>
      <c r="D121" s="66" t="s">
        <v>23</v>
      </c>
      <c r="E121" s="81"/>
      <c r="F121" s="71" t="s">
        <v>101</v>
      </c>
      <c r="G121" s="71" t="s">
        <v>349</v>
      </c>
      <c r="H121" s="71" t="s">
        <v>350</v>
      </c>
      <c r="I121" s="71"/>
      <c r="J121" s="71"/>
      <c r="K121" s="79">
        <f>1341407247*13.62</f>
        <v>18269966704.139999</v>
      </c>
      <c r="L121" s="79">
        <v>0</v>
      </c>
      <c r="M121" s="2">
        <f>+K121</f>
        <v>18269966704.139999</v>
      </c>
      <c r="N121" s="69" t="s">
        <v>28</v>
      </c>
      <c r="O121" s="66" t="s">
        <v>96</v>
      </c>
      <c r="P121" s="66">
        <v>2025</v>
      </c>
      <c r="Q121" s="66" t="s">
        <v>30</v>
      </c>
      <c r="R121" s="85"/>
      <c r="S121" s="87"/>
      <c r="T121" s="80"/>
      <c r="U121" s="66" t="s">
        <v>154</v>
      </c>
    </row>
    <row r="122" spans="1:21" ht="37.15" customHeight="1">
      <c r="A122" s="94"/>
      <c r="B122" s="71" t="s">
        <v>348</v>
      </c>
      <c r="C122" s="66" t="s">
        <v>149</v>
      </c>
      <c r="D122" s="66" t="s">
        <v>23</v>
      </c>
      <c r="E122" s="81"/>
      <c r="F122" s="71" t="s">
        <v>101</v>
      </c>
      <c r="G122" s="71" t="s">
        <v>351</v>
      </c>
      <c r="H122" s="71" t="s">
        <v>351</v>
      </c>
      <c r="I122" s="71"/>
      <c r="J122" s="71"/>
      <c r="K122" s="79">
        <f>1341407247*33.67</f>
        <v>45165182006.490005</v>
      </c>
      <c r="L122" s="79">
        <v>0</v>
      </c>
      <c r="M122" s="2">
        <f>+K122</f>
        <v>45165182006.490005</v>
      </c>
      <c r="N122" s="69" t="s">
        <v>28</v>
      </c>
      <c r="O122" s="66" t="s">
        <v>96</v>
      </c>
      <c r="P122" s="66">
        <v>2025</v>
      </c>
      <c r="Q122" s="66" t="s">
        <v>30</v>
      </c>
      <c r="R122" s="85"/>
      <c r="S122" s="87"/>
      <c r="T122" s="80"/>
      <c r="U122" s="66" t="s">
        <v>154</v>
      </c>
    </row>
    <row r="123" spans="1:21" ht="142.9" customHeight="1">
      <c r="A123" s="94"/>
      <c r="B123" s="71" t="s">
        <v>348</v>
      </c>
      <c r="C123" s="66" t="s">
        <v>149</v>
      </c>
      <c r="D123" s="66" t="s">
        <v>174</v>
      </c>
      <c r="E123" s="81" t="s">
        <v>352</v>
      </c>
      <c r="F123" s="71" t="s">
        <v>175</v>
      </c>
      <c r="G123" s="71" t="s">
        <v>353</v>
      </c>
      <c r="H123" s="71" t="s">
        <v>353</v>
      </c>
      <c r="I123" s="71"/>
      <c r="J123" s="71"/>
      <c r="K123" s="79">
        <v>14638912836</v>
      </c>
      <c r="L123" s="79">
        <v>0</v>
      </c>
      <c r="M123" s="69">
        <f>+K123</f>
        <v>14638912836</v>
      </c>
      <c r="N123" s="69" t="s">
        <v>37</v>
      </c>
      <c r="O123" s="66" t="s">
        <v>29</v>
      </c>
      <c r="P123" s="66">
        <v>2026</v>
      </c>
      <c r="Q123" s="66" t="s">
        <v>354</v>
      </c>
      <c r="R123" s="66"/>
      <c r="S123" s="66"/>
      <c r="T123" s="66"/>
      <c r="U123" s="71" t="s">
        <v>355</v>
      </c>
    </row>
    <row r="124" spans="1:21" ht="13.9">
      <c r="A124" s="94"/>
      <c r="B124" s="71" t="s">
        <v>348</v>
      </c>
      <c r="C124" s="66" t="s">
        <v>149</v>
      </c>
      <c r="D124" s="66" t="s">
        <v>42</v>
      </c>
      <c r="E124" s="81">
        <v>2024003050238</v>
      </c>
      <c r="F124" s="71" t="s">
        <v>356</v>
      </c>
      <c r="G124" s="66" t="s">
        <v>105</v>
      </c>
      <c r="H124" s="66">
        <v>2</v>
      </c>
      <c r="I124" s="66"/>
      <c r="J124" s="66"/>
      <c r="K124" s="69">
        <v>3697797016</v>
      </c>
      <c r="L124" s="69">
        <v>894449254</v>
      </c>
      <c r="M124" s="69">
        <f>+K124+L124</f>
        <v>4592246270</v>
      </c>
      <c r="N124" s="2" t="s">
        <v>37</v>
      </c>
      <c r="O124" s="2" t="s">
        <v>45</v>
      </c>
      <c r="P124" s="66">
        <v>2024</v>
      </c>
      <c r="Q124" s="66" t="s">
        <v>52</v>
      </c>
      <c r="R124" s="66"/>
      <c r="S124" s="66"/>
      <c r="T124" s="80">
        <v>1</v>
      </c>
      <c r="U124" s="71" t="s">
        <v>69</v>
      </c>
    </row>
    <row r="125" spans="1:21" ht="131.25" hidden="1" customHeight="1">
      <c r="A125" s="66"/>
      <c r="B125" s="71" t="s">
        <v>357</v>
      </c>
      <c r="C125" s="66" t="s">
        <v>181</v>
      </c>
      <c r="D125" s="66" t="s">
        <v>48</v>
      </c>
      <c r="E125" s="81"/>
      <c r="F125" s="71" t="s">
        <v>358</v>
      </c>
      <c r="G125" s="66" t="s">
        <v>48</v>
      </c>
      <c r="H125" s="66"/>
      <c r="I125" s="66"/>
      <c r="J125" s="66"/>
      <c r="K125" s="69">
        <v>936284815</v>
      </c>
      <c r="L125" s="69">
        <v>70000000</v>
      </c>
      <c r="M125" s="69">
        <f>+K125+L125</f>
        <v>1006284815</v>
      </c>
      <c r="N125" s="66" t="s">
        <v>28</v>
      </c>
      <c r="O125" s="66" t="s">
        <v>51</v>
      </c>
      <c r="P125" s="66">
        <v>2023</v>
      </c>
      <c r="Q125" s="66" t="s">
        <v>30</v>
      </c>
      <c r="R125" s="66"/>
      <c r="S125" s="66"/>
      <c r="T125" s="80">
        <v>0.75</v>
      </c>
      <c r="U125" s="71" t="s">
        <v>343</v>
      </c>
    </row>
    <row r="126" spans="1:21" ht="27.6">
      <c r="A126" s="66"/>
      <c r="B126" s="71" t="s">
        <v>357</v>
      </c>
      <c r="C126" s="66" t="s">
        <v>181</v>
      </c>
      <c r="D126" s="66" t="s">
        <v>174</v>
      </c>
      <c r="E126" s="81" t="s">
        <v>62</v>
      </c>
      <c r="F126" s="71" t="s">
        <v>359</v>
      </c>
      <c r="G126" s="66" t="s">
        <v>360</v>
      </c>
      <c r="H126" s="66"/>
      <c r="I126" s="66"/>
      <c r="J126" s="66"/>
      <c r="K126" s="69">
        <v>3000000000</v>
      </c>
      <c r="L126" s="69">
        <v>0</v>
      </c>
      <c r="M126" s="69">
        <f>+K126</f>
        <v>3000000000</v>
      </c>
      <c r="N126" s="66" t="s">
        <v>37</v>
      </c>
      <c r="O126" s="66" t="s">
        <v>45</v>
      </c>
      <c r="P126" s="66">
        <v>2026</v>
      </c>
      <c r="Q126" s="66" t="s">
        <v>129</v>
      </c>
      <c r="R126" s="66"/>
      <c r="S126" s="66"/>
      <c r="T126" s="80">
        <v>0</v>
      </c>
      <c r="U126" s="71" t="s">
        <v>361</v>
      </c>
    </row>
    <row r="127" spans="1:21" ht="27.6">
      <c r="A127" s="66"/>
      <c r="B127" s="71" t="s">
        <v>357</v>
      </c>
      <c r="C127" s="66" t="s">
        <v>181</v>
      </c>
      <c r="D127" s="66" t="s">
        <v>42</v>
      </c>
      <c r="E127" s="81">
        <v>2026003050011</v>
      </c>
      <c r="F127" s="71" t="s">
        <v>362</v>
      </c>
      <c r="G127" s="66" t="s">
        <v>363</v>
      </c>
      <c r="H127" s="66">
        <v>1</v>
      </c>
      <c r="I127" s="66"/>
      <c r="J127" s="66"/>
      <c r="K127" s="69">
        <v>2095882218</v>
      </c>
      <c r="L127" s="69">
        <v>0</v>
      </c>
      <c r="M127" s="69">
        <v>2095882218</v>
      </c>
      <c r="N127" s="66" t="s">
        <v>37</v>
      </c>
      <c r="O127" s="66" t="s">
        <v>364</v>
      </c>
      <c r="P127" s="66">
        <v>2026</v>
      </c>
      <c r="Q127" s="66" t="s">
        <v>30</v>
      </c>
      <c r="R127" s="66"/>
      <c r="S127" s="66"/>
      <c r="T127" s="80"/>
      <c r="U127" s="71"/>
    </row>
    <row r="128" spans="1:21" ht="37.9" hidden="1" customHeight="1">
      <c r="A128" s="66">
        <v>33</v>
      </c>
      <c r="B128" s="71" t="s">
        <v>357</v>
      </c>
      <c r="C128" s="66" t="s">
        <v>181</v>
      </c>
      <c r="D128" s="66" t="s">
        <v>66</v>
      </c>
      <c r="E128" s="81"/>
      <c r="F128" s="71" t="s">
        <v>365</v>
      </c>
      <c r="G128" s="66" t="s">
        <v>366</v>
      </c>
      <c r="H128" s="66">
        <v>0.53800000000000003</v>
      </c>
      <c r="I128" s="66"/>
      <c r="J128" s="66"/>
      <c r="K128" s="69">
        <v>1310172026</v>
      </c>
      <c r="L128" s="69">
        <f>+M128-K128</f>
        <v>561502297</v>
      </c>
      <c r="M128" s="69">
        <v>1871674323</v>
      </c>
      <c r="N128" s="66" t="s">
        <v>28</v>
      </c>
      <c r="O128" s="66" t="s">
        <v>51</v>
      </c>
      <c r="P128" s="66">
        <v>2023</v>
      </c>
      <c r="Q128" s="66" t="s">
        <v>30</v>
      </c>
      <c r="R128" s="66"/>
      <c r="S128" s="66"/>
      <c r="T128" s="40">
        <v>0.9</v>
      </c>
      <c r="U128" s="66" t="s">
        <v>30</v>
      </c>
    </row>
    <row r="129" spans="1:21" ht="37.9" customHeight="1">
      <c r="A129" s="68"/>
      <c r="B129" s="71" t="s">
        <v>367</v>
      </c>
      <c r="C129" s="66" t="s">
        <v>90</v>
      </c>
      <c r="D129" s="66" t="s">
        <v>174</v>
      </c>
      <c r="E129" s="81">
        <v>2025003050037</v>
      </c>
      <c r="F129" s="71" t="s">
        <v>368</v>
      </c>
      <c r="G129" s="66" t="s">
        <v>369</v>
      </c>
      <c r="H129" s="66"/>
      <c r="I129" s="66"/>
      <c r="J129" s="66"/>
      <c r="K129" s="69">
        <v>9769638546</v>
      </c>
      <c r="L129" s="69">
        <v>0</v>
      </c>
      <c r="M129" s="69">
        <f>+K129</f>
        <v>9769638546</v>
      </c>
      <c r="N129" s="66" t="s">
        <v>37</v>
      </c>
      <c r="O129" s="66" t="s">
        <v>29</v>
      </c>
      <c r="P129" s="66">
        <v>2025</v>
      </c>
      <c r="Q129" s="66" t="s">
        <v>99</v>
      </c>
      <c r="R129" s="66"/>
      <c r="S129" s="66"/>
      <c r="T129" s="40">
        <v>0</v>
      </c>
      <c r="U129" s="66" t="s">
        <v>370</v>
      </c>
    </row>
    <row r="130" spans="1:21" ht="13.9">
      <c r="A130" s="68">
        <v>34</v>
      </c>
      <c r="B130" s="71" t="s">
        <v>367</v>
      </c>
      <c r="C130" s="66" t="s">
        <v>90</v>
      </c>
      <c r="D130" s="66" t="s">
        <v>42</v>
      </c>
      <c r="E130" s="81" t="s">
        <v>371</v>
      </c>
      <c r="F130" s="71" t="s">
        <v>80</v>
      </c>
      <c r="G130" s="66" t="s">
        <v>76</v>
      </c>
      <c r="H130" s="66">
        <v>1</v>
      </c>
      <c r="I130" s="66"/>
      <c r="J130" s="66"/>
      <c r="K130" s="69">
        <v>349478298</v>
      </c>
      <c r="L130" s="69">
        <v>598634270</v>
      </c>
      <c r="M130" s="69">
        <f>+K1320+L130</f>
        <v>598634270</v>
      </c>
      <c r="N130" s="66" t="s">
        <v>73</v>
      </c>
      <c r="O130" s="66" t="s">
        <v>51</v>
      </c>
      <c r="P130" s="66">
        <v>2024</v>
      </c>
      <c r="Q130" s="66" t="s">
        <v>52</v>
      </c>
      <c r="R130" s="66"/>
      <c r="S130" s="66"/>
      <c r="T130" s="70">
        <v>1</v>
      </c>
      <c r="U130" s="66"/>
    </row>
    <row r="131" spans="1:21" ht="20.45" hidden="1" customHeight="1">
      <c r="A131" s="68"/>
      <c r="B131" s="71" t="s">
        <v>372</v>
      </c>
      <c r="C131" s="66" t="s">
        <v>83</v>
      </c>
      <c r="D131" s="66" t="s">
        <v>42</v>
      </c>
      <c r="E131" s="81">
        <v>2021003050023</v>
      </c>
      <c r="F131" s="71" t="s">
        <v>241</v>
      </c>
      <c r="G131" s="71" t="s">
        <v>242</v>
      </c>
      <c r="H131" s="71">
        <v>5.0999999999999996</v>
      </c>
      <c r="I131" s="71"/>
      <c r="J131" s="71"/>
      <c r="K131" s="79">
        <v>0</v>
      </c>
      <c r="L131" s="79">
        <v>0</v>
      </c>
      <c r="M131" s="69">
        <f>+K131</f>
        <v>0</v>
      </c>
      <c r="N131" s="79" t="s">
        <v>37</v>
      </c>
      <c r="O131" s="71"/>
      <c r="P131" s="66">
        <v>2021</v>
      </c>
      <c r="Q131" s="66" t="s">
        <v>30</v>
      </c>
      <c r="R131" s="66"/>
      <c r="S131" s="66"/>
      <c r="T131" s="70">
        <v>0.97</v>
      </c>
      <c r="U131" s="66" t="s">
        <v>30</v>
      </c>
    </row>
    <row r="132" spans="1:21" ht="20.45" customHeight="1">
      <c r="A132" s="68"/>
      <c r="B132" s="71" t="s">
        <v>372</v>
      </c>
      <c r="C132" s="66" t="s">
        <v>83</v>
      </c>
      <c r="D132" s="66" t="s">
        <v>66</v>
      </c>
      <c r="E132" s="81">
        <v>4600018768</v>
      </c>
      <c r="F132" s="71" t="s">
        <v>365</v>
      </c>
      <c r="G132" s="71" t="s">
        <v>373</v>
      </c>
      <c r="H132" s="71">
        <v>0.48799999999999999</v>
      </c>
      <c r="I132" s="71"/>
      <c r="J132" s="71"/>
      <c r="K132" s="79">
        <v>100000000</v>
      </c>
      <c r="L132" s="79">
        <v>15000000</v>
      </c>
      <c r="M132" s="69">
        <f>+K132+L132</f>
        <v>115000000</v>
      </c>
      <c r="N132" s="79" t="s">
        <v>28</v>
      </c>
      <c r="O132" s="71" t="s">
        <v>51</v>
      </c>
      <c r="P132" s="66">
        <v>2026</v>
      </c>
      <c r="Q132" s="66" t="s">
        <v>115</v>
      </c>
      <c r="R132" s="66"/>
      <c r="S132" s="66"/>
      <c r="T132" s="70">
        <v>1</v>
      </c>
      <c r="U132" s="66"/>
    </row>
    <row r="133" spans="1:21" ht="13.9">
      <c r="A133" s="93">
        <v>35</v>
      </c>
      <c r="B133" s="71" t="s">
        <v>372</v>
      </c>
      <c r="C133" s="66" t="s">
        <v>83</v>
      </c>
      <c r="D133" s="66" t="s">
        <v>42</v>
      </c>
      <c r="E133" s="81" t="s">
        <v>374</v>
      </c>
      <c r="F133" s="71" t="s">
        <v>80</v>
      </c>
      <c r="G133" s="66" t="s">
        <v>375</v>
      </c>
      <c r="H133" s="66">
        <v>1.3320000000000001</v>
      </c>
      <c r="I133" s="66"/>
      <c r="J133" s="66"/>
      <c r="K133" s="69">
        <v>349615135</v>
      </c>
      <c r="L133" s="2">
        <v>162602956</v>
      </c>
      <c r="M133" s="69">
        <f>+K133+L133</f>
        <v>512218091</v>
      </c>
      <c r="N133" s="66" t="s">
        <v>73</v>
      </c>
      <c r="O133" s="66" t="s">
        <v>51</v>
      </c>
      <c r="P133" s="66">
        <v>2024</v>
      </c>
      <c r="Q133" s="66" t="s">
        <v>52</v>
      </c>
      <c r="R133" s="66"/>
      <c r="S133" s="66"/>
      <c r="T133" s="70">
        <v>1</v>
      </c>
      <c r="U133" s="66" t="s">
        <v>69</v>
      </c>
    </row>
    <row r="134" spans="1:21" ht="13.9">
      <c r="A134" s="93"/>
      <c r="B134" s="71" t="s">
        <v>372</v>
      </c>
      <c r="C134" s="66" t="s">
        <v>83</v>
      </c>
      <c r="D134" s="66" t="s">
        <v>42</v>
      </c>
      <c r="E134" s="81" t="s">
        <v>376</v>
      </c>
      <c r="F134" s="71" t="s">
        <v>377</v>
      </c>
      <c r="G134" s="66" t="s">
        <v>204</v>
      </c>
      <c r="H134" s="66">
        <v>0.1</v>
      </c>
      <c r="I134" s="66"/>
      <c r="J134" s="66"/>
      <c r="K134" s="43">
        <v>121755209</v>
      </c>
      <c r="L134" s="9">
        <v>14178966</v>
      </c>
      <c r="M134" s="43">
        <f>+K134+L134</f>
        <v>135934175</v>
      </c>
      <c r="N134" s="66" t="s">
        <v>28</v>
      </c>
      <c r="O134" s="66" t="s">
        <v>51</v>
      </c>
      <c r="P134" s="66">
        <v>2025</v>
      </c>
      <c r="Q134" s="66" t="s">
        <v>30</v>
      </c>
      <c r="R134" s="66"/>
      <c r="S134" s="66"/>
      <c r="T134" s="70">
        <v>0.9</v>
      </c>
      <c r="U134" s="66"/>
    </row>
    <row r="135" spans="1:21" ht="41.45">
      <c r="A135" s="93"/>
      <c r="B135" s="71" t="s">
        <v>372</v>
      </c>
      <c r="C135" s="66" t="s">
        <v>83</v>
      </c>
      <c r="D135" s="66" t="s">
        <v>131</v>
      </c>
      <c r="E135" s="81">
        <v>4600017793</v>
      </c>
      <c r="F135" s="71" t="s">
        <v>137</v>
      </c>
      <c r="G135" s="66" t="s">
        <v>378</v>
      </c>
      <c r="H135" s="66">
        <v>15.43</v>
      </c>
      <c r="I135" s="71" t="s">
        <v>26</v>
      </c>
      <c r="J135" s="71" t="s">
        <v>134</v>
      </c>
      <c r="K135" s="2">
        <v>17166424376</v>
      </c>
      <c r="L135" s="69">
        <v>0</v>
      </c>
      <c r="M135" s="42">
        <f>+K135</f>
        <v>17166424376</v>
      </c>
      <c r="N135" s="71" t="s">
        <v>28</v>
      </c>
      <c r="O135" s="71" t="s">
        <v>135</v>
      </c>
      <c r="P135" s="66">
        <v>2024</v>
      </c>
      <c r="Q135" s="66" t="s">
        <v>30</v>
      </c>
      <c r="R135" s="66"/>
      <c r="S135" s="66"/>
      <c r="T135" s="70">
        <v>0.87</v>
      </c>
      <c r="U135" s="71" t="s">
        <v>136</v>
      </c>
    </row>
    <row r="136" spans="1:21" ht="13.9">
      <c r="A136" s="93"/>
      <c r="B136" s="71" t="s">
        <v>372</v>
      </c>
      <c r="C136" s="66" t="s">
        <v>83</v>
      </c>
      <c r="D136" s="66" t="s">
        <v>42</v>
      </c>
      <c r="E136" s="81">
        <v>2024003050244</v>
      </c>
      <c r="F136" s="71" t="s">
        <v>379</v>
      </c>
      <c r="G136" s="66" t="s">
        <v>76</v>
      </c>
      <c r="H136" s="66">
        <v>1</v>
      </c>
      <c r="I136" s="66"/>
      <c r="J136" s="66"/>
      <c r="K136" s="69">
        <v>1742094798.4000001</v>
      </c>
      <c r="L136" s="69">
        <f>+M136-K136</f>
        <v>435523699.5999999</v>
      </c>
      <c r="M136" s="2">
        <v>2177618498</v>
      </c>
      <c r="N136" s="2" t="s">
        <v>37</v>
      </c>
      <c r="O136" s="2" t="s">
        <v>45</v>
      </c>
      <c r="P136" s="66">
        <v>2024</v>
      </c>
      <c r="Q136" s="66" t="s">
        <v>38</v>
      </c>
      <c r="R136" s="66"/>
      <c r="S136" s="66"/>
      <c r="T136" s="80">
        <v>1</v>
      </c>
      <c r="U136" s="71" t="s">
        <v>380</v>
      </c>
    </row>
    <row r="137" spans="1:21" ht="125.45" hidden="1" customHeight="1">
      <c r="A137" s="66"/>
      <c r="B137" s="71" t="s">
        <v>381</v>
      </c>
      <c r="C137" s="66" t="s">
        <v>22</v>
      </c>
      <c r="D137" s="66" t="s">
        <v>23</v>
      </c>
      <c r="E137" s="81">
        <v>4600016585</v>
      </c>
      <c r="F137" s="71" t="s">
        <v>382</v>
      </c>
      <c r="G137" s="71" t="s">
        <v>383</v>
      </c>
      <c r="H137" s="71" t="s">
        <v>384</v>
      </c>
      <c r="I137" s="71" t="s">
        <v>26</v>
      </c>
      <c r="J137" s="71"/>
      <c r="K137" s="79">
        <f>5253733694+602176279+1400000000</f>
        <v>7255909973</v>
      </c>
      <c r="L137" s="79">
        <v>0</v>
      </c>
      <c r="M137" s="2">
        <f>+K137</f>
        <v>7255909973</v>
      </c>
      <c r="N137" s="66" t="s">
        <v>28</v>
      </c>
      <c r="O137" s="66" t="s">
        <v>96</v>
      </c>
      <c r="P137" s="66">
        <v>2023</v>
      </c>
      <c r="Q137" s="66" t="s">
        <v>385</v>
      </c>
      <c r="R137" s="66"/>
      <c r="S137" s="66"/>
      <c r="T137" s="80">
        <v>0.79</v>
      </c>
      <c r="U137" s="71"/>
    </row>
    <row r="138" spans="1:21" ht="13.9">
      <c r="A138" s="93">
        <v>36</v>
      </c>
      <c r="B138" s="71" t="s">
        <v>381</v>
      </c>
      <c r="C138" s="66" t="s">
        <v>22</v>
      </c>
      <c r="D138" s="66" t="s">
        <v>42</v>
      </c>
      <c r="E138" s="81" t="s">
        <v>386</v>
      </c>
      <c r="F138" s="71" t="s">
        <v>80</v>
      </c>
      <c r="G138" s="66" t="s">
        <v>76</v>
      </c>
      <c r="H138" s="66">
        <v>1</v>
      </c>
      <c r="I138" s="66"/>
      <c r="J138" s="66"/>
      <c r="K138" s="69">
        <v>350000000</v>
      </c>
      <c r="L138" s="69">
        <v>172000000</v>
      </c>
      <c r="M138" s="2">
        <f>+K138+L138</f>
        <v>522000000</v>
      </c>
      <c r="N138" s="66" t="s">
        <v>73</v>
      </c>
      <c r="O138" s="66" t="s">
        <v>51</v>
      </c>
      <c r="P138" s="66">
        <v>2024</v>
      </c>
      <c r="Q138" s="66" t="s">
        <v>52</v>
      </c>
      <c r="R138" s="66"/>
      <c r="S138" s="66"/>
      <c r="T138" s="80">
        <v>1</v>
      </c>
      <c r="U138" s="71"/>
    </row>
    <row r="139" spans="1:21" ht="61.15" customHeight="1">
      <c r="A139" s="93"/>
      <c r="B139" s="71" t="s">
        <v>381</v>
      </c>
      <c r="C139" s="66" t="s">
        <v>22</v>
      </c>
      <c r="D139" s="66" t="s">
        <v>174</v>
      </c>
      <c r="E139" s="81">
        <v>4600018520</v>
      </c>
      <c r="F139" s="71" t="s">
        <v>387</v>
      </c>
      <c r="G139" s="71" t="s">
        <v>388</v>
      </c>
      <c r="H139" s="71" t="s">
        <v>388</v>
      </c>
      <c r="I139" s="71"/>
      <c r="J139" s="71"/>
      <c r="K139" s="69">
        <v>6326000000</v>
      </c>
      <c r="L139" s="69">
        <v>0</v>
      </c>
      <c r="M139" s="2">
        <f>+K139</f>
        <v>6326000000</v>
      </c>
      <c r="N139" s="66" t="s">
        <v>28</v>
      </c>
      <c r="O139" s="66" t="s">
        <v>114</v>
      </c>
      <c r="P139" s="66">
        <v>2025</v>
      </c>
      <c r="Q139" s="66" t="s">
        <v>30</v>
      </c>
      <c r="R139" s="66"/>
      <c r="S139" s="66"/>
      <c r="T139" s="80">
        <v>0.23</v>
      </c>
      <c r="U139" s="71"/>
    </row>
    <row r="140" spans="1:21" ht="40.9" customHeight="1">
      <c r="A140" s="93"/>
      <c r="B140" s="71" t="s">
        <v>381</v>
      </c>
      <c r="C140" s="66" t="s">
        <v>22</v>
      </c>
      <c r="D140" s="66" t="s">
        <v>119</v>
      </c>
      <c r="E140" s="81">
        <v>4600018392</v>
      </c>
      <c r="F140" s="71" t="s">
        <v>389</v>
      </c>
      <c r="G140" s="66" t="s">
        <v>390</v>
      </c>
      <c r="H140" s="66" t="s">
        <v>390</v>
      </c>
      <c r="I140" s="66"/>
      <c r="J140" s="66"/>
      <c r="K140" s="69">
        <v>100000000</v>
      </c>
      <c r="L140" s="2">
        <v>90000000</v>
      </c>
      <c r="M140" s="69">
        <f>+L140+K140</f>
        <v>190000000</v>
      </c>
      <c r="N140" s="66" t="s">
        <v>28</v>
      </c>
      <c r="O140" s="66" t="s">
        <v>51</v>
      </c>
      <c r="P140" s="66">
        <v>2025</v>
      </c>
      <c r="Q140" s="66" t="s">
        <v>52</v>
      </c>
      <c r="R140" s="66"/>
      <c r="S140" s="66"/>
      <c r="T140" s="80">
        <v>1</v>
      </c>
      <c r="U140" s="71"/>
    </row>
    <row r="141" spans="1:21" ht="81.599999999999994" customHeight="1">
      <c r="A141" s="93"/>
      <c r="B141" s="71" t="s">
        <v>381</v>
      </c>
      <c r="C141" s="66" t="s">
        <v>22</v>
      </c>
      <c r="D141" s="66" t="s">
        <v>174</v>
      </c>
      <c r="E141" s="81">
        <v>4600018402</v>
      </c>
      <c r="F141" s="71" t="s">
        <v>391</v>
      </c>
      <c r="G141" s="66" t="s">
        <v>392</v>
      </c>
      <c r="H141" s="66" t="s">
        <v>392</v>
      </c>
      <c r="I141" s="66"/>
      <c r="J141" s="66"/>
      <c r="K141" s="2">
        <v>352988871</v>
      </c>
      <c r="L141" s="69">
        <v>0</v>
      </c>
      <c r="M141" s="2">
        <v>320000000</v>
      </c>
      <c r="N141" s="66" t="s">
        <v>28</v>
      </c>
      <c r="O141" s="66" t="s">
        <v>51</v>
      </c>
      <c r="P141" s="66">
        <v>2025</v>
      </c>
      <c r="Q141" s="66" t="s">
        <v>38</v>
      </c>
      <c r="R141" s="66"/>
      <c r="S141" s="66"/>
      <c r="T141" s="80">
        <v>1</v>
      </c>
      <c r="U141" s="71"/>
    </row>
    <row r="142" spans="1:21" ht="13.9">
      <c r="A142" s="93"/>
      <c r="B142" s="71" t="s">
        <v>381</v>
      </c>
      <c r="C142" s="66" t="s">
        <v>22</v>
      </c>
      <c r="D142" s="66" t="s">
        <v>42</v>
      </c>
      <c r="E142" s="81" t="s">
        <v>393</v>
      </c>
      <c r="F142" s="71" t="s">
        <v>394</v>
      </c>
      <c r="G142" s="66" t="s">
        <v>141</v>
      </c>
      <c r="H142" s="66">
        <v>0.2</v>
      </c>
      <c r="I142" s="66"/>
      <c r="J142" s="66"/>
      <c r="K142" s="2">
        <v>209935716</v>
      </c>
      <c r="L142" s="69">
        <v>29492981</v>
      </c>
      <c r="M142" s="2">
        <f>+K142+L142</f>
        <v>239428697</v>
      </c>
      <c r="N142" s="66" t="s">
        <v>28</v>
      </c>
      <c r="O142" s="66" t="s">
        <v>114</v>
      </c>
      <c r="P142" s="66">
        <v>2025</v>
      </c>
      <c r="Q142" s="66" t="s">
        <v>38</v>
      </c>
      <c r="R142" s="66"/>
      <c r="S142" s="66"/>
      <c r="T142" s="80">
        <v>1</v>
      </c>
      <c r="U142" s="71"/>
    </row>
    <row r="143" spans="1:21" ht="13.9">
      <c r="A143" s="93"/>
      <c r="B143" s="71" t="s">
        <v>381</v>
      </c>
      <c r="C143" s="66" t="s">
        <v>22</v>
      </c>
      <c r="D143" s="66" t="s">
        <v>42</v>
      </c>
      <c r="E143" s="81">
        <v>4600018022</v>
      </c>
      <c r="F143" s="71" t="s">
        <v>395</v>
      </c>
      <c r="G143" s="66" t="s">
        <v>76</v>
      </c>
      <c r="H143" s="66">
        <v>1</v>
      </c>
      <c r="I143" s="66"/>
      <c r="J143" s="66"/>
      <c r="K143" s="2">
        <v>1889098940</v>
      </c>
      <c r="L143" s="69">
        <v>472274735</v>
      </c>
      <c r="M143" s="69">
        <f>+K143+L143</f>
        <v>2361373675</v>
      </c>
      <c r="N143" s="66" t="s">
        <v>28</v>
      </c>
      <c r="O143" s="66" t="s">
        <v>51</v>
      </c>
      <c r="P143" s="66">
        <v>2025</v>
      </c>
      <c r="Q143" s="66" t="s">
        <v>115</v>
      </c>
      <c r="R143" s="66"/>
      <c r="S143" s="66"/>
      <c r="T143" s="70">
        <v>1</v>
      </c>
      <c r="U143" s="66"/>
    </row>
    <row r="144" spans="1:21" ht="13.9">
      <c r="A144" s="93"/>
      <c r="B144" s="71" t="s">
        <v>381</v>
      </c>
      <c r="C144" s="66" t="s">
        <v>22</v>
      </c>
      <c r="D144" s="66" t="s">
        <v>42</v>
      </c>
      <c r="E144" s="81">
        <v>2024051970041</v>
      </c>
      <c r="F144" s="71" t="s">
        <v>75</v>
      </c>
      <c r="G144" s="66" t="s">
        <v>396</v>
      </c>
      <c r="H144" s="66">
        <v>1.5</v>
      </c>
      <c r="I144" s="66"/>
      <c r="J144" s="66"/>
      <c r="K144" s="69">
        <v>2756741210</v>
      </c>
      <c r="L144" s="69">
        <f>+M144-K144</f>
        <v>689185303</v>
      </c>
      <c r="M144" s="2">
        <v>3445926513</v>
      </c>
      <c r="N144" s="2" t="s">
        <v>37</v>
      </c>
      <c r="O144" s="2" t="s">
        <v>45</v>
      </c>
      <c r="P144" s="66">
        <v>2025</v>
      </c>
      <c r="Q144" s="66" t="s">
        <v>52</v>
      </c>
      <c r="R144" s="66"/>
      <c r="S144" s="66"/>
      <c r="T144" s="80">
        <v>1</v>
      </c>
      <c r="U144" s="71"/>
    </row>
    <row r="145" spans="1:21" ht="13.9">
      <c r="A145" s="93">
        <v>37</v>
      </c>
      <c r="B145" s="71" t="s">
        <v>397</v>
      </c>
      <c r="C145" s="66" t="s">
        <v>22</v>
      </c>
      <c r="D145" s="66" t="s">
        <v>42</v>
      </c>
      <c r="E145" s="81" t="s">
        <v>398</v>
      </c>
      <c r="F145" s="71" t="s">
        <v>80</v>
      </c>
      <c r="G145" s="66" t="s">
        <v>399</v>
      </c>
      <c r="H145" s="66">
        <v>0.5</v>
      </c>
      <c r="I145" s="66"/>
      <c r="J145" s="66"/>
      <c r="K145" s="69">
        <v>174996617</v>
      </c>
      <c r="L145" s="69">
        <v>396421206</v>
      </c>
      <c r="M145" s="2">
        <f>+K145+L145</f>
        <v>571417823</v>
      </c>
      <c r="N145" s="66" t="s">
        <v>73</v>
      </c>
      <c r="O145" s="66" t="s">
        <v>51</v>
      </c>
      <c r="P145" s="66">
        <v>2024</v>
      </c>
      <c r="Q145" s="66" t="s">
        <v>52</v>
      </c>
      <c r="R145" s="66"/>
      <c r="S145" s="66"/>
      <c r="T145" s="70">
        <v>1</v>
      </c>
      <c r="U145" s="66" t="s">
        <v>69</v>
      </c>
    </row>
    <row r="146" spans="1:21" ht="102" customHeight="1">
      <c r="A146" s="93"/>
      <c r="B146" s="71" t="s">
        <v>397</v>
      </c>
      <c r="C146" s="66" t="s">
        <v>22</v>
      </c>
      <c r="D146" s="66" t="s">
        <v>23</v>
      </c>
      <c r="E146" s="81"/>
      <c r="F146" s="71" t="s">
        <v>227</v>
      </c>
      <c r="G146" s="66" t="s">
        <v>165</v>
      </c>
      <c r="H146" s="66">
        <v>4</v>
      </c>
      <c r="I146" s="66"/>
      <c r="J146" s="66"/>
      <c r="K146" s="69">
        <v>12037419164</v>
      </c>
      <c r="L146" s="69">
        <v>0</v>
      </c>
      <c r="M146" s="69">
        <f>+K146</f>
        <v>12037419164</v>
      </c>
      <c r="N146" s="71" t="s">
        <v>28</v>
      </c>
      <c r="O146" s="71" t="s">
        <v>96</v>
      </c>
      <c r="P146" s="66">
        <v>2025</v>
      </c>
      <c r="Q146" s="66" t="s">
        <v>99</v>
      </c>
      <c r="R146" s="66"/>
      <c r="S146" s="66"/>
      <c r="T146" s="70"/>
      <c r="U146" s="71" t="s">
        <v>99</v>
      </c>
    </row>
    <row r="147" spans="1:21" ht="18.600000000000001" customHeight="1">
      <c r="A147" s="93"/>
      <c r="B147" s="71" t="s">
        <v>397</v>
      </c>
      <c r="C147" s="66" t="s">
        <v>22</v>
      </c>
      <c r="D147" s="66" t="s">
        <v>66</v>
      </c>
      <c r="E147" s="81"/>
      <c r="F147" s="71" t="s">
        <v>400</v>
      </c>
      <c r="G147" s="66" t="s">
        <v>401</v>
      </c>
      <c r="H147" s="66">
        <v>0.874</v>
      </c>
      <c r="I147" s="66"/>
      <c r="J147" s="66"/>
      <c r="K147" s="69">
        <v>2421407483</v>
      </c>
      <c r="L147" s="69">
        <v>500000000</v>
      </c>
      <c r="M147" s="2">
        <f>+L147+K147</f>
        <v>2921407483</v>
      </c>
      <c r="N147" s="71" t="s">
        <v>28</v>
      </c>
      <c r="O147" s="71" t="s">
        <v>51</v>
      </c>
      <c r="P147" s="66">
        <v>2024</v>
      </c>
      <c r="Q147" s="66" t="s">
        <v>52</v>
      </c>
      <c r="R147" s="66"/>
      <c r="S147" s="66"/>
      <c r="T147" s="70">
        <v>1</v>
      </c>
      <c r="U147" s="71" t="s">
        <v>69</v>
      </c>
    </row>
    <row r="148" spans="1:21" ht="18.600000000000001" customHeight="1">
      <c r="A148" s="67"/>
      <c r="B148" s="71" t="s">
        <v>402</v>
      </c>
      <c r="C148" s="66" t="s">
        <v>83</v>
      </c>
      <c r="D148" s="66" t="s">
        <v>23</v>
      </c>
      <c r="E148" s="81"/>
      <c r="F148" s="71" t="s">
        <v>208</v>
      </c>
      <c r="G148" s="66" t="s">
        <v>403</v>
      </c>
      <c r="H148" s="66">
        <v>84.9</v>
      </c>
      <c r="I148" s="66"/>
      <c r="J148" s="66"/>
      <c r="K148" s="69">
        <v>112898115</v>
      </c>
      <c r="L148" s="69">
        <v>0</v>
      </c>
      <c r="M148" s="2">
        <f>+K148</f>
        <v>112898115</v>
      </c>
      <c r="N148" s="71" t="s">
        <v>28</v>
      </c>
      <c r="O148" s="71" t="s">
        <v>51</v>
      </c>
      <c r="P148" s="66">
        <v>2024</v>
      </c>
      <c r="Q148" s="66" t="s">
        <v>52</v>
      </c>
      <c r="R148" s="66"/>
      <c r="S148" s="66"/>
      <c r="T148" s="70">
        <v>1</v>
      </c>
      <c r="U148" s="71" t="s">
        <v>81</v>
      </c>
    </row>
    <row r="149" spans="1:21" ht="35.450000000000003" customHeight="1">
      <c r="A149" s="104"/>
      <c r="B149" s="71" t="s">
        <v>402</v>
      </c>
      <c r="C149" s="66" t="s">
        <v>83</v>
      </c>
      <c r="D149" s="66" t="s">
        <v>23</v>
      </c>
      <c r="E149" s="81"/>
      <c r="F149" s="71" t="s">
        <v>101</v>
      </c>
      <c r="G149" s="71" t="s">
        <v>404</v>
      </c>
      <c r="H149" s="71" t="s">
        <v>405</v>
      </c>
      <c r="I149" s="71"/>
      <c r="J149" s="71"/>
      <c r="K149" s="3">
        <f>1341963493*15.93</f>
        <v>21377478443.489998</v>
      </c>
      <c r="L149" s="79">
        <v>0</v>
      </c>
      <c r="M149" s="2">
        <f>+K149</f>
        <v>21377478443.489998</v>
      </c>
      <c r="N149" s="71" t="s">
        <v>28</v>
      </c>
      <c r="O149" s="71" t="s">
        <v>96</v>
      </c>
      <c r="P149" s="66">
        <v>2025</v>
      </c>
      <c r="Q149" s="66" t="s">
        <v>30</v>
      </c>
      <c r="R149" s="85"/>
      <c r="S149" s="87"/>
      <c r="T149" s="80"/>
      <c r="U149" s="66" t="s">
        <v>154</v>
      </c>
    </row>
    <row r="150" spans="1:21" ht="40.9" customHeight="1">
      <c r="A150" s="100"/>
      <c r="B150" s="71" t="s">
        <v>402</v>
      </c>
      <c r="C150" s="66" t="s">
        <v>83</v>
      </c>
      <c r="D150" s="66" t="s">
        <v>42</v>
      </c>
      <c r="E150" s="81" t="s">
        <v>146</v>
      </c>
      <c r="F150" s="71" t="s">
        <v>80</v>
      </c>
      <c r="G150" s="66" t="s">
        <v>406</v>
      </c>
      <c r="H150" s="66">
        <v>1</v>
      </c>
      <c r="I150" s="66"/>
      <c r="J150" s="66"/>
      <c r="K150" s="2">
        <v>277170095</v>
      </c>
      <c r="L150" s="69">
        <v>390025931</v>
      </c>
      <c r="M150" s="2">
        <v>892196089</v>
      </c>
      <c r="N150" s="71" t="s">
        <v>147</v>
      </c>
      <c r="O150" s="71" t="s">
        <v>51</v>
      </c>
      <c r="P150" s="66">
        <v>2024</v>
      </c>
      <c r="Q150" s="66" t="s">
        <v>30</v>
      </c>
      <c r="R150" s="66"/>
      <c r="S150" s="66"/>
      <c r="T150" s="80">
        <v>0.95</v>
      </c>
      <c r="U150" s="71" t="s">
        <v>343</v>
      </c>
    </row>
    <row r="151" spans="1:21" ht="40.9" customHeight="1">
      <c r="A151" s="68"/>
      <c r="B151" s="71" t="s">
        <v>407</v>
      </c>
      <c r="C151" s="66" t="s">
        <v>224</v>
      </c>
      <c r="D151" s="66" t="s">
        <v>174</v>
      </c>
      <c r="E151" s="81" t="s">
        <v>62</v>
      </c>
      <c r="F151" s="71" t="s">
        <v>408</v>
      </c>
      <c r="G151" s="66" t="s">
        <v>409</v>
      </c>
      <c r="H151" s="66" t="s">
        <v>409</v>
      </c>
      <c r="I151" s="66"/>
      <c r="J151" s="66"/>
      <c r="K151" s="2">
        <v>4161519598</v>
      </c>
      <c r="L151" s="69">
        <v>0</v>
      </c>
      <c r="M151" s="2">
        <f>+K151</f>
        <v>4161519598</v>
      </c>
      <c r="N151" s="71" t="s">
        <v>37</v>
      </c>
      <c r="O151" s="71" t="s">
        <v>45</v>
      </c>
      <c r="P151" s="66">
        <v>2026</v>
      </c>
      <c r="Q151" s="66" t="s">
        <v>129</v>
      </c>
      <c r="R151" s="66"/>
      <c r="S151" s="66"/>
      <c r="T151" s="80"/>
      <c r="U151" s="71" t="s">
        <v>178</v>
      </c>
    </row>
    <row r="152" spans="1:21" ht="13.9">
      <c r="A152" s="66">
        <v>39</v>
      </c>
      <c r="B152" s="71" t="s">
        <v>407</v>
      </c>
      <c r="C152" s="66" t="s">
        <v>224</v>
      </c>
      <c r="D152" s="66" t="s">
        <v>42</v>
      </c>
      <c r="E152" s="81" t="s">
        <v>410</v>
      </c>
      <c r="F152" s="71" t="s">
        <v>80</v>
      </c>
      <c r="G152" s="66" t="s">
        <v>411</v>
      </c>
      <c r="H152" s="66">
        <v>1.71</v>
      </c>
      <c r="I152" s="66"/>
      <c r="J152" s="66"/>
      <c r="K152" s="2">
        <v>598500000</v>
      </c>
      <c r="L152" s="69">
        <v>1143561830.8199999</v>
      </c>
      <c r="M152" s="69">
        <f>+L152+K152</f>
        <v>1742061830.8199999</v>
      </c>
      <c r="N152" s="71" t="s">
        <v>73</v>
      </c>
      <c r="O152" s="71" t="s">
        <v>51</v>
      </c>
      <c r="P152" s="66">
        <v>2024</v>
      </c>
      <c r="Q152" s="66" t="s">
        <v>52</v>
      </c>
      <c r="R152" s="66"/>
      <c r="S152" s="66"/>
      <c r="T152" s="70">
        <v>0.62</v>
      </c>
      <c r="U152" s="66" t="s">
        <v>412</v>
      </c>
    </row>
    <row r="153" spans="1:21" ht="40.9" customHeight="1">
      <c r="A153" s="99">
        <v>40</v>
      </c>
      <c r="B153" s="71" t="s">
        <v>413</v>
      </c>
      <c r="C153" s="66" t="s">
        <v>41</v>
      </c>
      <c r="D153" s="66" t="s">
        <v>42</v>
      </c>
      <c r="E153" s="81">
        <v>4600018141</v>
      </c>
      <c r="F153" s="71" t="s">
        <v>414</v>
      </c>
      <c r="G153" s="71" t="s">
        <v>415</v>
      </c>
      <c r="H153" s="71" t="s">
        <v>416</v>
      </c>
      <c r="I153" s="71"/>
      <c r="J153" s="71"/>
      <c r="K153" s="69">
        <v>836421982</v>
      </c>
      <c r="L153" s="69">
        <v>73973795</v>
      </c>
      <c r="M153" s="2">
        <f>+K153+L153</f>
        <v>910395777</v>
      </c>
      <c r="N153" s="71" t="s">
        <v>28</v>
      </c>
      <c r="O153" s="71" t="s">
        <v>51</v>
      </c>
      <c r="P153" s="66">
        <v>2025</v>
      </c>
      <c r="Q153" s="66" t="s">
        <v>30</v>
      </c>
      <c r="R153" s="66"/>
      <c r="S153" s="66"/>
      <c r="T153" s="70">
        <v>0.7</v>
      </c>
      <c r="U153" s="66" t="s">
        <v>343</v>
      </c>
    </row>
    <row r="154" spans="1:21" ht="122.45" customHeight="1">
      <c r="A154" s="104"/>
      <c r="B154" s="71" t="s">
        <v>413</v>
      </c>
      <c r="C154" s="66" t="s">
        <v>41</v>
      </c>
      <c r="D154" s="66" t="s">
        <v>23</v>
      </c>
      <c r="E154" s="81"/>
      <c r="F154" s="71" t="s">
        <v>417</v>
      </c>
      <c r="G154" s="66" t="s">
        <v>418</v>
      </c>
      <c r="H154" s="66">
        <v>4.0999999999999996</v>
      </c>
      <c r="I154" s="66"/>
      <c r="J154" s="66"/>
      <c r="K154" s="2" t="s">
        <v>162</v>
      </c>
      <c r="L154" s="79" t="s">
        <v>162</v>
      </c>
      <c r="M154" s="79">
        <v>17979435868</v>
      </c>
      <c r="N154" s="71" t="s">
        <v>98</v>
      </c>
      <c r="O154" s="71" t="s">
        <v>62</v>
      </c>
      <c r="P154" s="66">
        <v>2024</v>
      </c>
      <c r="Q154" s="66"/>
      <c r="R154" s="66"/>
      <c r="S154" s="66"/>
      <c r="T154" s="70">
        <v>1</v>
      </c>
      <c r="U154" s="66" t="s">
        <v>69</v>
      </c>
    </row>
    <row r="155" spans="1:21" ht="183.6" customHeight="1">
      <c r="A155" s="104"/>
      <c r="B155" s="71" t="s">
        <v>413</v>
      </c>
      <c r="C155" s="66" t="s">
        <v>41</v>
      </c>
      <c r="D155" s="66" t="s">
        <v>23</v>
      </c>
      <c r="E155" s="81"/>
      <c r="F155" s="71" t="s">
        <v>419</v>
      </c>
      <c r="G155" s="66" t="s">
        <v>420</v>
      </c>
      <c r="H155" s="66" t="s">
        <v>421</v>
      </c>
      <c r="I155" s="66"/>
      <c r="J155" s="66"/>
      <c r="K155" s="2" t="s">
        <v>162</v>
      </c>
      <c r="L155" s="2" t="s">
        <v>162</v>
      </c>
      <c r="M155" s="2">
        <v>5636866520</v>
      </c>
      <c r="N155" s="71" t="s">
        <v>98</v>
      </c>
      <c r="O155" s="71" t="s">
        <v>62</v>
      </c>
      <c r="P155" s="66">
        <v>2024</v>
      </c>
      <c r="Q155" s="66"/>
      <c r="R155" s="66"/>
      <c r="S155" s="66"/>
      <c r="T155" s="70"/>
      <c r="U155" s="71" t="s">
        <v>422</v>
      </c>
    </row>
    <row r="156" spans="1:21" ht="122.45" customHeight="1">
      <c r="A156" s="104"/>
      <c r="B156" s="71" t="s">
        <v>413</v>
      </c>
      <c r="C156" s="66" t="s">
        <v>41</v>
      </c>
      <c r="D156" s="66" t="s">
        <v>23</v>
      </c>
      <c r="E156" s="81"/>
      <c r="F156" s="71" t="s">
        <v>423</v>
      </c>
      <c r="G156" s="66" t="s">
        <v>165</v>
      </c>
      <c r="H156" s="66">
        <v>4</v>
      </c>
      <c r="I156" s="66"/>
      <c r="J156" s="66"/>
      <c r="K156" s="2" t="s">
        <v>162</v>
      </c>
      <c r="L156" s="2" t="s">
        <v>162</v>
      </c>
      <c r="M156" s="2">
        <v>21337541030</v>
      </c>
      <c r="N156" s="71" t="s">
        <v>98</v>
      </c>
      <c r="O156" s="71" t="s">
        <v>62</v>
      </c>
      <c r="P156" s="66">
        <v>2024</v>
      </c>
      <c r="Q156" s="66"/>
      <c r="R156" s="66"/>
      <c r="S156" s="66"/>
      <c r="T156" s="70">
        <v>0</v>
      </c>
      <c r="U156" s="71" t="s">
        <v>424</v>
      </c>
    </row>
    <row r="157" spans="1:21" ht="122.45" customHeight="1">
      <c r="A157" s="104"/>
      <c r="B157" s="71" t="s">
        <v>413</v>
      </c>
      <c r="C157" s="66" t="s">
        <v>41</v>
      </c>
      <c r="D157" s="66" t="s">
        <v>42</v>
      </c>
      <c r="E157" s="81" t="s">
        <v>425</v>
      </c>
      <c r="F157" s="71" t="s">
        <v>265</v>
      </c>
      <c r="G157" s="66" t="s">
        <v>72</v>
      </c>
      <c r="H157" s="66">
        <v>0.3</v>
      </c>
      <c r="I157" s="66"/>
      <c r="J157" s="66"/>
      <c r="K157" s="2">
        <v>105000000</v>
      </c>
      <c r="L157" s="2">
        <v>317209141</v>
      </c>
      <c r="M157" s="2">
        <f>+K157+L157</f>
        <v>422209141</v>
      </c>
      <c r="N157" s="71" t="s">
        <v>73</v>
      </c>
      <c r="O157" s="71" t="s">
        <v>51</v>
      </c>
      <c r="P157" s="66">
        <v>2025</v>
      </c>
      <c r="Q157" s="66" t="s">
        <v>38</v>
      </c>
      <c r="R157" s="66"/>
      <c r="S157" s="66"/>
      <c r="T157" s="70">
        <v>1</v>
      </c>
      <c r="U157" s="71" t="s">
        <v>74</v>
      </c>
    </row>
    <row r="158" spans="1:21" ht="13.9">
      <c r="A158" s="104"/>
      <c r="B158" s="71" t="s">
        <v>413</v>
      </c>
      <c r="C158" s="66" t="s">
        <v>41</v>
      </c>
      <c r="D158" s="66" t="s">
        <v>42</v>
      </c>
      <c r="E158" s="81" t="s">
        <v>425</v>
      </c>
      <c r="F158" s="71" t="s">
        <v>265</v>
      </c>
      <c r="G158" s="66" t="s">
        <v>72</v>
      </c>
      <c r="H158" s="66">
        <v>0.3</v>
      </c>
      <c r="I158" s="66"/>
      <c r="J158" s="66"/>
      <c r="K158" s="2">
        <v>105000000</v>
      </c>
      <c r="L158" s="2">
        <v>317209141</v>
      </c>
      <c r="M158" s="2">
        <f>+K158+L158</f>
        <v>422209141</v>
      </c>
      <c r="N158" s="71" t="s">
        <v>73</v>
      </c>
      <c r="O158" s="71" t="s">
        <v>51</v>
      </c>
      <c r="P158" s="66">
        <v>2025</v>
      </c>
      <c r="Q158" s="66" t="s">
        <v>115</v>
      </c>
      <c r="R158" s="66"/>
      <c r="S158" s="66"/>
      <c r="T158" s="70">
        <v>1</v>
      </c>
      <c r="U158" s="71" t="s">
        <v>74</v>
      </c>
    </row>
    <row r="159" spans="1:21" ht="13.9">
      <c r="A159" s="104"/>
      <c r="B159" s="71" t="s">
        <v>413</v>
      </c>
      <c r="C159" s="66" t="s">
        <v>41</v>
      </c>
      <c r="D159" s="66" t="s">
        <v>42</v>
      </c>
      <c r="E159" s="81" t="s">
        <v>426</v>
      </c>
      <c r="F159" s="71" t="s">
        <v>80</v>
      </c>
      <c r="G159" s="66" t="s">
        <v>76</v>
      </c>
      <c r="H159" s="66">
        <v>1</v>
      </c>
      <c r="I159" s="66"/>
      <c r="J159" s="66"/>
      <c r="K159" s="2">
        <v>350000000</v>
      </c>
      <c r="L159" s="2">
        <v>709358956</v>
      </c>
      <c r="M159" s="69">
        <f>+K159+L159</f>
        <v>1059358956</v>
      </c>
      <c r="N159" s="71" t="s">
        <v>73</v>
      </c>
      <c r="O159" s="71" t="s">
        <v>51</v>
      </c>
      <c r="P159" s="66">
        <v>2024</v>
      </c>
      <c r="Q159" s="66" t="s">
        <v>38</v>
      </c>
      <c r="R159" s="66"/>
      <c r="S159" s="66"/>
      <c r="T159" s="80">
        <v>1</v>
      </c>
      <c r="U159" s="71" t="s">
        <v>69</v>
      </c>
    </row>
    <row r="160" spans="1:21" ht="55.15">
      <c r="A160" s="104"/>
      <c r="B160" s="71" t="s">
        <v>427</v>
      </c>
      <c r="C160" s="66" t="s">
        <v>149</v>
      </c>
      <c r="D160" s="66" t="s">
        <v>23</v>
      </c>
      <c r="E160" s="81"/>
      <c r="F160" s="71" t="s">
        <v>428</v>
      </c>
      <c r="G160" s="66" t="s">
        <v>307</v>
      </c>
      <c r="H160" s="66">
        <v>12</v>
      </c>
      <c r="I160" s="66"/>
      <c r="J160" s="66"/>
      <c r="K160" s="2">
        <v>14986504766</v>
      </c>
      <c r="L160" s="2">
        <v>0</v>
      </c>
      <c r="M160" s="69">
        <f>+K160</f>
        <v>14986504766</v>
      </c>
      <c r="N160" s="71" t="s">
        <v>28</v>
      </c>
      <c r="O160" s="71" t="s">
        <v>51</v>
      </c>
      <c r="P160" s="66">
        <v>2025</v>
      </c>
      <c r="Q160" s="66" t="s">
        <v>30</v>
      </c>
      <c r="R160" s="85"/>
      <c r="S160" s="87"/>
      <c r="T160" s="80">
        <v>0.4</v>
      </c>
      <c r="U160" s="71"/>
    </row>
    <row r="161" spans="1:21" ht="27.6">
      <c r="A161" s="104"/>
      <c r="B161" s="71" t="s">
        <v>427</v>
      </c>
      <c r="C161" s="66" t="s">
        <v>149</v>
      </c>
      <c r="D161" s="66" t="s">
        <v>42</v>
      </c>
      <c r="E161" s="81">
        <v>2025003050017</v>
      </c>
      <c r="F161" s="71" t="s">
        <v>429</v>
      </c>
      <c r="G161" s="66" t="s">
        <v>430</v>
      </c>
      <c r="H161" s="66">
        <v>1.95</v>
      </c>
      <c r="I161" s="66"/>
      <c r="J161" s="66"/>
      <c r="K161" s="69">
        <f>+M161*0.8</f>
        <v>4737753144</v>
      </c>
      <c r="L161" s="69">
        <f>+M161*0.2</f>
        <v>1184438286</v>
      </c>
      <c r="M161" s="2">
        <v>5922191430</v>
      </c>
      <c r="N161" s="2" t="s">
        <v>37</v>
      </c>
      <c r="O161" s="2" t="s">
        <v>45</v>
      </c>
      <c r="P161" s="66">
        <v>2025</v>
      </c>
      <c r="Q161" s="66" t="s">
        <v>30</v>
      </c>
      <c r="R161" s="66"/>
      <c r="S161" s="66"/>
      <c r="T161" s="80">
        <v>0.98</v>
      </c>
      <c r="U161" s="71"/>
    </row>
    <row r="162" spans="1:21" ht="13.9" hidden="1">
      <c r="A162" s="104"/>
      <c r="B162" s="71" t="s">
        <v>427</v>
      </c>
      <c r="C162" s="66" t="s">
        <v>149</v>
      </c>
      <c r="D162" s="66" t="s">
        <v>119</v>
      </c>
      <c r="E162" s="81"/>
      <c r="F162" s="71" t="s">
        <v>431</v>
      </c>
      <c r="G162" s="66" t="s">
        <v>432</v>
      </c>
      <c r="H162" s="66" t="s">
        <v>432</v>
      </c>
      <c r="I162" s="66"/>
      <c r="J162" s="66"/>
      <c r="K162" s="69">
        <v>3482694221</v>
      </c>
      <c r="L162" s="69">
        <v>0</v>
      </c>
      <c r="M162" s="2">
        <f>+K162</f>
        <v>3482694221</v>
      </c>
      <c r="N162" s="79" t="s">
        <v>28</v>
      </c>
      <c r="O162" s="71" t="s">
        <v>51</v>
      </c>
      <c r="P162" s="66">
        <v>2022</v>
      </c>
      <c r="Q162" s="66" t="s">
        <v>115</v>
      </c>
      <c r="R162" s="66"/>
      <c r="S162" s="66"/>
      <c r="T162" s="80">
        <v>1</v>
      </c>
      <c r="U162" s="71"/>
    </row>
    <row r="163" spans="1:21" ht="13.9">
      <c r="A163" s="104"/>
      <c r="B163" s="71" t="s">
        <v>427</v>
      </c>
      <c r="C163" s="66" t="s">
        <v>149</v>
      </c>
      <c r="D163" s="66" t="s">
        <v>42</v>
      </c>
      <c r="E163" s="81" t="s">
        <v>433</v>
      </c>
      <c r="F163" s="71" t="s">
        <v>434</v>
      </c>
      <c r="G163" s="66" t="s">
        <v>76</v>
      </c>
      <c r="H163" s="66">
        <v>1</v>
      </c>
      <c r="I163" s="66"/>
      <c r="J163" s="66"/>
      <c r="K163" s="2">
        <v>350000000</v>
      </c>
      <c r="L163" s="69">
        <v>737986901</v>
      </c>
      <c r="M163" s="69">
        <f>+K163+L163</f>
        <v>1087986901</v>
      </c>
      <c r="N163" s="79" t="s">
        <v>73</v>
      </c>
      <c r="O163" s="71" t="s">
        <v>51</v>
      </c>
      <c r="P163" s="66">
        <v>2024</v>
      </c>
      <c r="Q163" s="66" t="s">
        <v>115</v>
      </c>
      <c r="R163" s="66"/>
      <c r="S163" s="66"/>
      <c r="T163" s="80">
        <v>1</v>
      </c>
      <c r="U163" s="71" t="s">
        <v>74</v>
      </c>
    </row>
    <row r="164" spans="1:21" ht="27.75" customHeight="1">
      <c r="A164" s="100"/>
      <c r="B164" s="71" t="s">
        <v>435</v>
      </c>
      <c r="C164" s="66" t="s">
        <v>41</v>
      </c>
      <c r="D164" s="66" t="s">
        <v>23</v>
      </c>
      <c r="E164" s="81"/>
      <c r="F164" s="71" t="s">
        <v>436</v>
      </c>
      <c r="G164" s="66" t="s">
        <v>437</v>
      </c>
      <c r="H164" s="66" t="s">
        <v>438</v>
      </c>
      <c r="I164" s="66"/>
      <c r="J164" s="66"/>
      <c r="K164" s="69">
        <f>1346222109*1</f>
        <v>1346222109</v>
      </c>
      <c r="L164" s="69">
        <v>0</v>
      </c>
      <c r="M164" s="2">
        <f>+K164</f>
        <v>1346222109</v>
      </c>
      <c r="N164" s="71" t="s">
        <v>28</v>
      </c>
      <c r="O164" s="71" t="s">
        <v>96</v>
      </c>
      <c r="P164" s="66">
        <v>2025</v>
      </c>
      <c r="Q164" s="66" t="s">
        <v>30</v>
      </c>
      <c r="R164" s="85"/>
      <c r="S164" s="87"/>
      <c r="T164" s="80"/>
      <c r="U164" s="66" t="s">
        <v>154</v>
      </c>
    </row>
    <row r="165" spans="1:21" ht="37.9" customHeight="1">
      <c r="A165" s="104"/>
      <c r="B165" s="71" t="s">
        <v>435</v>
      </c>
      <c r="C165" s="66" t="s">
        <v>41</v>
      </c>
      <c r="D165" s="66" t="s">
        <v>23</v>
      </c>
      <c r="E165" s="81"/>
      <c r="F165" s="71" t="s">
        <v>436</v>
      </c>
      <c r="G165" s="71" t="s">
        <v>439</v>
      </c>
      <c r="H165" s="71" t="s">
        <v>440</v>
      </c>
      <c r="I165" s="71"/>
      <c r="J165" s="71"/>
      <c r="K165" s="79">
        <f>1346222109*28.76</f>
        <v>38717347854.840004</v>
      </c>
      <c r="L165" s="79">
        <v>0</v>
      </c>
      <c r="M165" s="2">
        <f>+K165</f>
        <v>38717347854.840004</v>
      </c>
      <c r="N165" s="71" t="s">
        <v>28</v>
      </c>
      <c r="O165" s="71" t="s">
        <v>96</v>
      </c>
      <c r="P165" s="66">
        <v>2025</v>
      </c>
      <c r="Q165" s="66" t="s">
        <v>30</v>
      </c>
      <c r="R165" s="85"/>
      <c r="S165" s="87"/>
      <c r="T165" s="80"/>
      <c r="U165" s="66" t="s">
        <v>154</v>
      </c>
    </row>
    <row r="166" spans="1:21" ht="13.9">
      <c r="A166" s="100"/>
      <c r="B166" s="71" t="s">
        <v>435</v>
      </c>
      <c r="C166" s="66" t="s">
        <v>41</v>
      </c>
      <c r="D166" s="66" t="s">
        <v>42</v>
      </c>
      <c r="E166" s="81" t="s">
        <v>146</v>
      </c>
      <c r="F166" s="71" t="s">
        <v>80</v>
      </c>
      <c r="G166" s="66" t="s">
        <v>441</v>
      </c>
      <c r="H166" s="66">
        <v>0.65</v>
      </c>
      <c r="I166" s="66"/>
      <c r="J166" s="66"/>
      <c r="K166" s="69">
        <v>171482627</v>
      </c>
      <c r="L166" s="69">
        <v>263886981</v>
      </c>
      <c r="M166" s="2">
        <v>582554107</v>
      </c>
      <c r="N166" s="71" t="s">
        <v>147</v>
      </c>
      <c r="O166" s="71" t="s">
        <v>51</v>
      </c>
      <c r="P166" s="66">
        <v>2025</v>
      </c>
      <c r="Q166" s="66" t="s">
        <v>38</v>
      </c>
      <c r="R166" s="66"/>
      <c r="S166" s="66"/>
      <c r="T166" s="70">
        <v>1</v>
      </c>
      <c r="U166" s="66" t="s">
        <v>74</v>
      </c>
    </row>
    <row r="167" spans="1:21" ht="13.9">
      <c r="A167" s="68"/>
      <c r="B167" s="71" t="s">
        <v>442</v>
      </c>
      <c r="C167" s="66" t="s">
        <v>292</v>
      </c>
      <c r="D167" s="66" t="s">
        <v>42</v>
      </c>
      <c r="E167" s="81" t="s">
        <v>443</v>
      </c>
      <c r="F167" s="71" t="s">
        <v>444</v>
      </c>
      <c r="G167" s="66" t="s">
        <v>204</v>
      </c>
      <c r="H167" s="66">
        <v>0.1</v>
      </c>
      <c r="I167" s="66" t="s">
        <v>88</v>
      </c>
      <c r="J167" s="66" t="s">
        <v>162</v>
      </c>
      <c r="K167" s="69">
        <v>101750077</v>
      </c>
      <c r="L167" s="43">
        <v>13454853</v>
      </c>
      <c r="M167" s="9">
        <f>+K167+L167</f>
        <v>115204930</v>
      </c>
      <c r="N167" s="71" t="s">
        <v>28</v>
      </c>
      <c r="O167" s="71" t="s">
        <v>51</v>
      </c>
      <c r="P167" s="66">
        <v>2025</v>
      </c>
      <c r="Q167" s="66" t="s">
        <v>30</v>
      </c>
      <c r="R167" s="66"/>
      <c r="S167" s="66"/>
      <c r="T167" s="70">
        <v>0.5</v>
      </c>
      <c r="U167" s="71"/>
    </row>
    <row r="168" spans="1:21" ht="27.6">
      <c r="A168" s="66">
        <v>43</v>
      </c>
      <c r="B168" s="71" t="s">
        <v>442</v>
      </c>
      <c r="C168" s="66" t="s">
        <v>292</v>
      </c>
      <c r="D168" s="66" t="s">
        <v>42</v>
      </c>
      <c r="E168" s="81" t="s">
        <v>445</v>
      </c>
      <c r="F168" s="71" t="s">
        <v>446</v>
      </c>
      <c r="G168" s="66" t="s">
        <v>447</v>
      </c>
      <c r="H168" s="66">
        <v>0.66</v>
      </c>
      <c r="I168" s="66" t="s">
        <v>88</v>
      </c>
      <c r="J168" s="66" t="s">
        <v>162</v>
      </c>
      <c r="K168" s="69">
        <v>350000000</v>
      </c>
      <c r="L168" s="69">
        <v>664782000</v>
      </c>
      <c r="M168" s="69">
        <f>+K168+L168</f>
        <v>1014782000</v>
      </c>
      <c r="N168" s="71" t="s">
        <v>73</v>
      </c>
      <c r="O168" s="71" t="s">
        <v>51</v>
      </c>
      <c r="P168" s="66">
        <v>2024</v>
      </c>
      <c r="Q168" s="66" t="s">
        <v>52</v>
      </c>
      <c r="R168" s="66"/>
      <c r="S168" s="66"/>
      <c r="T168" s="80">
        <v>0.64</v>
      </c>
      <c r="U168" s="71" t="s">
        <v>448</v>
      </c>
    </row>
    <row r="169" spans="1:21" ht="41.45">
      <c r="A169" s="105">
        <v>44</v>
      </c>
      <c r="B169" s="71" t="s">
        <v>449</v>
      </c>
      <c r="C169" s="66" t="s">
        <v>22</v>
      </c>
      <c r="D169" s="66" t="s">
        <v>131</v>
      </c>
      <c r="E169" s="81">
        <v>4600017793</v>
      </c>
      <c r="F169" s="71" t="s">
        <v>137</v>
      </c>
      <c r="G169" s="66" t="s">
        <v>450</v>
      </c>
      <c r="H169" s="66"/>
      <c r="I169" s="71" t="s">
        <v>26</v>
      </c>
      <c r="J169" s="71" t="s">
        <v>134</v>
      </c>
      <c r="K169" s="2">
        <v>17166424376</v>
      </c>
      <c r="L169" s="69">
        <v>0</v>
      </c>
      <c r="M169" s="42">
        <f t="shared" ref="M169:M171" si="0">+K169</f>
        <v>17166424376</v>
      </c>
      <c r="N169" s="71" t="s">
        <v>28</v>
      </c>
      <c r="O169" s="71" t="s">
        <v>135</v>
      </c>
      <c r="P169" s="66">
        <v>2024</v>
      </c>
      <c r="Q169" s="66" t="s">
        <v>30</v>
      </c>
      <c r="R169" s="66"/>
      <c r="S169" s="66"/>
      <c r="T169" s="70">
        <v>0.87</v>
      </c>
      <c r="U169" s="71" t="s">
        <v>136</v>
      </c>
    </row>
    <row r="170" spans="1:21" ht="45" customHeight="1">
      <c r="A170" s="106"/>
      <c r="B170" s="71" t="s">
        <v>449</v>
      </c>
      <c r="C170" s="66" t="s">
        <v>22</v>
      </c>
      <c r="D170" s="66" t="s">
        <v>131</v>
      </c>
      <c r="E170" s="81"/>
      <c r="F170" s="71" t="s">
        <v>451</v>
      </c>
      <c r="G170" s="71" t="s">
        <v>452</v>
      </c>
      <c r="H170" s="71">
        <v>6</v>
      </c>
      <c r="I170" s="71" t="s">
        <v>26</v>
      </c>
      <c r="J170" s="71" t="s">
        <v>134</v>
      </c>
      <c r="K170" s="2"/>
      <c r="L170" s="69">
        <v>0</v>
      </c>
      <c r="M170" s="42"/>
      <c r="N170" s="71" t="s">
        <v>28</v>
      </c>
      <c r="O170" s="71"/>
      <c r="P170" s="66">
        <v>2024</v>
      </c>
      <c r="Q170" s="66" t="s">
        <v>115</v>
      </c>
      <c r="R170" s="66"/>
      <c r="S170" s="66"/>
      <c r="T170" s="80">
        <v>1</v>
      </c>
      <c r="U170" s="71" t="s">
        <v>69</v>
      </c>
    </row>
    <row r="171" spans="1:21" ht="37.15" customHeight="1">
      <c r="A171" s="106"/>
      <c r="B171" s="71" t="s">
        <v>449</v>
      </c>
      <c r="C171" s="66" t="s">
        <v>22</v>
      </c>
      <c r="D171" s="66" t="s">
        <v>131</v>
      </c>
      <c r="E171" s="81">
        <v>4600017793</v>
      </c>
      <c r="F171" s="71" t="s">
        <v>453</v>
      </c>
      <c r="G171" s="71" t="s">
        <v>454</v>
      </c>
      <c r="H171" s="71"/>
      <c r="I171" s="71" t="s">
        <v>26</v>
      </c>
      <c r="J171" s="71" t="s">
        <v>134</v>
      </c>
      <c r="K171" s="2">
        <v>17166424376</v>
      </c>
      <c r="L171" s="69">
        <v>0</v>
      </c>
      <c r="M171" s="42">
        <f t="shared" si="0"/>
        <v>17166424376</v>
      </c>
      <c r="N171" s="71" t="s">
        <v>28</v>
      </c>
      <c r="O171" s="71" t="s">
        <v>78</v>
      </c>
      <c r="P171" s="66">
        <v>2024</v>
      </c>
      <c r="Q171" s="66" t="s">
        <v>30</v>
      </c>
      <c r="R171" s="66"/>
      <c r="S171" s="66"/>
      <c r="T171" s="80">
        <v>0.87</v>
      </c>
      <c r="U171" s="71" t="s">
        <v>136</v>
      </c>
    </row>
    <row r="172" spans="1:21" ht="13.9">
      <c r="A172" s="106"/>
      <c r="B172" s="71" t="s">
        <v>449</v>
      </c>
      <c r="C172" s="66" t="s">
        <v>22</v>
      </c>
      <c r="D172" s="66" t="s">
        <v>42</v>
      </c>
      <c r="E172" s="81" t="s">
        <v>455</v>
      </c>
      <c r="F172" s="71" t="s">
        <v>226</v>
      </c>
      <c r="G172" s="66" t="s">
        <v>204</v>
      </c>
      <c r="H172" s="66">
        <v>0.1</v>
      </c>
      <c r="I172" s="66"/>
      <c r="J172" s="66"/>
      <c r="K172" s="43">
        <v>122265243</v>
      </c>
      <c r="L172" s="43">
        <v>11208998</v>
      </c>
      <c r="M172" s="43">
        <f>+K172+L172</f>
        <v>133474241</v>
      </c>
      <c r="N172" s="71" t="s">
        <v>28</v>
      </c>
      <c r="O172" s="71" t="s">
        <v>51</v>
      </c>
      <c r="P172" s="66">
        <v>2025</v>
      </c>
      <c r="Q172" s="66" t="s">
        <v>52</v>
      </c>
      <c r="R172" s="66"/>
      <c r="S172" s="66"/>
      <c r="T172" s="80">
        <v>1</v>
      </c>
      <c r="U172" s="71" t="s">
        <v>74</v>
      </c>
    </row>
    <row r="173" spans="1:21" ht="13.9">
      <c r="A173" s="107"/>
      <c r="B173" s="71" t="s">
        <v>456</v>
      </c>
      <c r="C173" s="66" t="s">
        <v>22</v>
      </c>
      <c r="D173" s="66" t="s">
        <v>42</v>
      </c>
      <c r="E173" s="81" t="s">
        <v>457</v>
      </c>
      <c r="F173" s="71" t="s">
        <v>80</v>
      </c>
      <c r="G173" s="66" t="s">
        <v>399</v>
      </c>
      <c r="H173" s="66">
        <v>0.5</v>
      </c>
      <c r="I173" s="66"/>
      <c r="J173" s="66"/>
      <c r="K173" s="69">
        <v>175000000</v>
      </c>
      <c r="L173" s="69">
        <v>380000000</v>
      </c>
      <c r="M173" s="2">
        <f>+K173+L173</f>
        <v>555000000</v>
      </c>
      <c r="N173" s="71" t="s">
        <v>73</v>
      </c>
      <c r="O173" s="71" t="s">
        <v>51</v>
      </c>
      <c r="P173" s="66">
        <v>2024</v>
      </c>
      <c r="Q173" s="66" t="s">
        <v>38</v>
      </c>
      <c r="R173" s="66"/>
      <c r="S173" s="66"/>
      <c r="T173" s="70">
        <v>1</v>
      </c>
      <c r="U173" s="66" t="s">
        <v>69</v>
      </c>
    </row>
    <row r="174" spans="1:21" ht="40.15" customHeight="1">
      <c r="A174" s="93">
        <v>45</v>
      </c>
      <c r="B174" s="71" t="s">
        <v>458</v>
      </c>
      <c r="C174" s="66" t="s">
        <v>22</v>
      </c>
      <c r="D174" s="66" t="s">
        <v>23</v>
      </c>
      <c r="E174" s="81">
        <v>4600018900</v>
      </c>
      <c r="F174" s="71" t="s">
        <v>436</v>
      </c>
      <c r="G174" s="71" t="s">
        <v>459</v>
      </c>
      <c r="H174" s="71" t="s">
        <v>460</v>
      </c>
      <c r="I174" s="71"/>
      <c r="J174" s="71"/>
      <c r="K174" s="79" t="e">
        <f>+'Estabilización datos '!H3*'Proyectos SIF'!#REF!</f>
        <v>#REF!</v>
      </c>
      <c r="L174" s="79">
        <v>0</v>
      </c>
      <c r="M174" s="2" t="e">
        <f>+K174</f>
        <v>#REF!</v>
      </c>
      <c r="N174" s="71" t="s">
        <v>28</v>
      </c>
      <c r="O174" s="66" t="s">
        <v>29</v>
      </c>
      <c r="P174" s="66">
        <v>2025</v>
      </c>
      <c r="Q174" s="66" t="s">
        <v>30</v>
      </c>
      <c r="R174" s="85"/>
      <c r="S174" s="87"/>
      <c r="T174" s="80"/>
      <c r="U174" s="76" t="s">
        <v>461</v>
      </c>
    </row>
    <row r="175" spans="1:21" ht="13.9">
      <c r="A175" s="93"/>
      <c r="B175" s="71" t="s">
        <v>458</v>
      </c>
      <c r="C175" s="66" t="s">
        <v>22</v>
      </c>
      <c r="D175" s="66" t="s">
        <v>42</v>
      </c>
      <c r="E175" s="81" t="s">
        <v>462</v>
      </c>
      <c r="F175" s="71" t="s">
        <v>265</v>
      </c>
      <c r="G175" s="66" t="s">
        <v>396</v>
      </c>
      <c r="H175" s="66">
        <v>1.5</v>
      </c>
      <c r="I175" s="66"/>
      <c r="J175" s="66"/>
      <c r="K175" s="2">
        <v>525000000</v>
      </c>
      <c r="L175" s="69">
        <v>872615688</v>
      </c>
      <c r="M175" s="69">
        <f t="shared" ref="M175:M180" si="1">+K175+L175</f>
        <v>1397615688</v>
      </c>
      <c r="N175" s="71" t="s">
        <v>73</v>
      </c>
      <c r="O175" s="71" t="s">
        <v>51</v>
      </c>
      <c r="P175" s="66">
        <v>2024</v>
      </c>
      <c r="Q175" s="66" t="s">
        <v>115</v>
      </c>
      <c r="R175" s="66"/>
      <c r="S175" s="66"/>
      <c r="T175" s="80">
        <v>1</v>
      </c>
      <c r="U175" s="71" t="s">
        <v>69</v>
      </c>
    </row>
    <row r="176" spans="1:21" ht="13.9">
      <c r="A176" s="93"/>
      <c r="B176" s="71" t="s">
        <v>458</v>
      </c>
      <c r="C176" s="66" t="s">
        <v>22</v>
      </c>
      <c r="D176" s="66" t="s">
        <v>42</v>
      </c>
      <c r="E176" s="81">
        <v>2025003050012</v>
      </c>
      <c r="F176" s="71" t="s">
        <v>75</v>
      </c>
      <c r="G176" s="66" t="s">
        <v>463</v>
      </c>
      <c r="H176" s="66">
        <v>2</v>
      </c>
      <c r="I176" s="66"/>
      <c r="J176" s="66"/>
      <c r="K176" s="2">
        <v>3849844656.8000002</v>
      </c>
      <c r="L176" s="69">
        <v>962461164.20000005</v>
      </c>
      <c r="M176" s="69">
        <f t="shared" si="1"/>
        <v>4812305821</v>
      </c>
      <c r="N176" s="2" t="s">
        <v>37</v>
      </c>
      <c r="O176" s="2" t="s">
        <v>45</v>
      </c>
      <c r="P176" s="66">
        <v>2025</v>
      </c>
      <c r="Q176" s="66" t="s">
        <v>30</v>
      </c>
      <c r="R176" s="66"/>
      <c r="S176" s="66"/>
      <c r="T176" s="80">
        <v>0.26</v>
      </c>
      <c r="U176" s="71"/>
    </row>
    <row r="177" spans="1:21" ht="13.9">
      <c r="A177" s="93"/>
      <c r="B177" s="71" t="s">
        <v>458</v>
      </c>
      <c r="C177" s="66" t="s">
        <v>22</v>
      </c>
      <c r="D177" s="66" t="s">
        <v>42</v>
      </c>
      <c r="E177" s="81" t="s">
        <v>464</v>
      </c>
      <c r="F177" s="71" t="s">
        <v>465</v>
      </c>
      <c r="G177" s="66" t="s">
        <v>204</v>
      </c>
      <c r="H177" s="66">
        <v>0.1</v>
      </c>
      <c r="I177" s="66"/>
      <c r="J177" s="66"/>
      <c r="K177" s="9">
        <v>122467404</v>
      </c>
      <c r="L177" s="43">
        <v>17736711</v>
      </c>
      <c r="M177" s="43">
        <f t="shared" si="1"/>
        <v>140204115</v>
      </c>
      <c r="N177" s="2" t="s">
        <v>28</v>
      </c>
      <c r="O177" s="71" t="s">
        <v>51</v>
      </c>
      <c r="P177" s="66">
        <v>2025</v>
      </c>
      <c r="Q177" s="66" t="s">
        <v>38</v>
      </c>
      <c r="R177" s="66"/>
      <c r="S177" s="66"/>
      <c r="T177" s="80">
        <v>1</v>
      </c>
      <c r="U177" s="71" t="s">
        <v>69</v>
      </c>
    </row>
    <row r="178" spans="1:21" ht="27.6">
      <c r="A178" s="93"/>
      <c r="B178" s="71" t="s">
        <v>458</v>
      </c>
      <c r="C178" s="66" t="s">
        <v>22</v>
      </c>
      <c r="D178" s="66" t="s">
        <v>42</v>
      </c>
      <c r="E178" s="81">
        <v>4600018145</v>
      </c>
      <c r="F178" s="71" t="s">
        <v>414</v>
      </c>
      <c r="G178" s="71" t="s">
        <v>466</v>
      </c>
      <c r="H178" s="71" t="s">
        <v>466</v>
      </c>
      <c r="I178" s="71"/>
      <c r="J178" s="71"/>
      <c r="K178" s="9">
        <v>299566842</v>
      </c>
      <c r="L178" s="43">
        <v>33285205</v>
      </c>
      <c r="M178" s="43">
        <f t="shared" si="1"/>
        <v>332852047</v>
      </c>
      <c r="N178" s="2" t="s">
        <v>28</v>
      </c>
      <c r="O178" s="71" t="s">
        <v>51</v>
      </c>
      <c r="P178" s="66">
        <v>2025</v>
      </c>
      <c r="Q178" s="66" t="s">
        <v>38</v>
      </c>
      <c r="R178" s="66"/>
      <c r="S178" s="66"/>
      <c r="T178" s="80">
        <v>1</v>
      </c>
      <c r="U178" s="71"/>
    </row>
    <row r="179" spans="1:21" ht="13.9">
      <c r="A179" s="93"/>
      <c r="B179" s="71" t="s">
        <v>467</v>
      </c>
      <c r="C179" s="66" t="s">
        <v>22</v>
      </c>
      <c r="D179" s="66" t="s">
        <v>42</v>
      </c>
      <c r="E179" s="81" t="s">
        <v>468</v>
      </c>
      <c r="F179" s="71" t="s">
        <v>265</v>
      </c>
      <c r="G179" s="66" t="s">
        <v>399</v>
      </c>
      <c r="H179" s="66">
        <v>0.5</v>
      </c>
      <c r="I179" s="66"/>
      <c r="J179" s="66"/>
      <c r="K179" s="2">
        <v>175000000</v>
      </c>
      <c r="L179" s="69">
        <v>203125532</v>
      </c>
      <c r="M179" s="69">
        <f t="shared" si="1"/>
        <v>378125532</v>
      </c>
      <c r="N179" s="2" t="s">
        <v>73</v>
      </c>
      <c r="O179" s="71" t="s">
        <v>51</v>
      </c>
      <c r="P179" s="66">
        <v>2025</v>
      </c>
      <c r="Q179" s="66" t="s">
        <v>38</v>
      </c>
      <c r="R179" s="66"/>
      <c r="S179" s="66"/>
      <c r="T179" s="80">
        <v>1</v>
      </c>
      <c r="U179" s="71" t="s">
        <v>74</v>
      </c>
    </row>
    <row r="180" spans="1:21" ht="13.9">
      <c r="A180" s="93"/>
      <c r="B180" s="71" t="s">
        <v>469</v>
      </c>
      <c r="C180" s="66" t="s">
        <v>22</v>
      </c>
      <c r="D180" s="66" t="s">
        <v>42</v>
      </c>
      <c r="E180" s="81" t="s">
        <v>470</v>
      </c>
      <c r="F180" s="71" t="s">
        <v>265</v>
      </c>
      <c r="G180" s="66" t="s">
        <v>76</v>
      </c>
      <c r="H180" s="66">
        <v>1</v>
      </c>
      <c r="I180" s="66"/>
      <c r="J180" s="66"/>
      <c r="K180" s="2">
        <v>330517929</v>
      </c>
      <c r="L180" s="69">
        <v>400869530</v>
      </c>
      <c r="M180" s="69">
        <f t="shared" si="1"/>
        <v>731387459</v>
      </c>
      <c r="N180" s="71" t="s">
        <v>73</v>
      </c>
      <c r="O180" s="71" t="s">
        <v>51</v>
      </c>
      <c r="P180" s="66">
        <v>2025</v>
      </c>
      <c r="Q180" s="66" t="s">
        <v>471</v>
      </c>
      <c r="R180" s="66"/>
      <c r="S180" s="66"/>
      <c r="T180" s="70">
        <v>0.95</v>
      </c>
      <c r="U180" s="66"/>
    </row>
    <row r="181" spans="1:21" ht="13.9" hidden="1">
      <c r="A181" s="75"/>
      <c r="B181" s="71" t="s">
        <v>472</v>
      </c>
      <c r="C181" s="66" t="s">
        <v>22</v>
      </c>
      <c r="D181" s="66" t="s">
        <v>42</v>
      </c>
      <c r="E181" s="81">
        <v>4600016135</v>
      </c>
      <c r="F181" s="71" t="s">
        <v>473</v>
      </c>
      <c r="G181" s="66" t="s">
        <v>474</v>
      </c>
      <c r="H181" s="66">
        <v>1.3</v>
      </c>
      <c r="I181" s="66"/>
      <c r="J181" s="66"/>
      <c r="K181" s="2">
        <v>9500000000</v>
      </c>
      <c r="L181" s="69">
        <v>0</v>
      </c>
      <c r="M181" s="69">
        <f>+K181</f>
        <v>9500000000</v>
      </c>
      <c r="N181" s="71" t="s">
        <v>28</v>
      </c>
      <c r="O181" s="71" t="s">
        <v>339</v>
      </c>
      <c r="P181" s="66">
        <v>2019</v>
      </c>
      <c r="Q181" s="66" t="s">
        <v>69</v>
      </c>
      <c r="R181" s="66"/>
      <c r="S181" s="66"/>
      <c r="T181" s="70">
        <v>1</v>
      </c>
      <c r="U181" s="66"/>
    </row>
    <row r="182" spans="1:21" ht="39.6" hidden="1" customHeight="1">
      <c r="A182" s="75"/>
      <c r="B182" s="71" t="s">
        <v>472</v>
      </c>
      <c r="C182" s="66" t="s">
        <v>22</v>
      </c>
      <c r="D182" s="66" t="s">
        <v>42</v>
      </c>
      <c r="E182" s="81">
        <v>4600015848</v>
      </c>
      <c r="F182" s="71" t="s">
        <v>475</v>
      </c>
      <c r="G182" s="66" t="s">
        <v>474</v>
      </c>
      <c r="H182" s="66">
        <v>1.3</v>
      </c>
      <c r="I182" s="66"/>
      <c r="J182" s="66"/>
      <c r="K182" s="43">
        <v>18068070651</v>
      </c>
      <c r="L182" s="69">
        <v>0</v>
      </c>
      <c r="M182" s="69" t="s">
        <v>476</v>
      </c>
      <c r="N182" s="71" t="s">
        <v>477</v>
      </c>
      <c r="O182" s="71" t="s">
        <v>339</v>
      </c>
      <c r="P182" s="66">
        <v>2019</v>
      </c>
      <c r="Q182" s="66" t="s">
        <v>69</v>
      </c>
      <c r="R182" s="66"/>
      <c r="S182" s="66"/>
      <c r="T182" s="70">
        <v>1</v>
      </c>
      <c r="U182" s="66"/>
    </row>
    <row r="183" spans="1:21" ht="61.15" customHeight="1">
      <c r="A183" s="108">
        <v>46</v>
      </c>
      <c r="B183" s="71" t="s">
        <v>472</v>
      </c>
      <c r="C183" s="66" t="s">
        <v>22</v>
      </c>
      <c r="D183" s="66" t="s">
        <v>42</v>
      </c>
      <c r="E183" s="81">
        <v>4600018625</v>
      </c>
      <c r="F183" s="71" t="s">
        <v>478</v>
      </c>
      <c r="G183" s="79" t="s">
        <v>479</v>
      </c>
      <c r="H183" s="69"/>
      <c r="I183" s="69"/>
      <c r="J183" s="69"/>
      <c r="K183" s="2">
        <v>8446008040</v>
      </c>
      <c r="L183" s="69">
        <v>10000000</v>
      </c>
      <c r="M183" s="69">
        <f>+K183+L183</f>
        <v>8456008040</v>
      </c>
      <c r="N183" s="71" t="s">
        <v>28</v>
      </c>
      <c r="O183" s="71" t="s">
        <v>51</v>
      </c>
      <c r="P183" s="66">
        <v>2025</v>
      </c>
      <c r="Q183" s="66" t="s">
        <v>30</v>
      </c>
      <c r="R183" s="66"/>
      <c r="S183" s="66"/>
      <c r="T183" s="70"/>
      <c r="U183" s="71" t="s">
        <v>30</v>
      </c>
    </row>
    <row r="184" spans="1:21" ht="61.15" customHeight="1">
      <c r="A184" s="108"/>
      <c r="B184" s="71" t="s">
        <v>472</v>
      </c>
      <c r="C184" s="66" t="s">
        <v>22</v>
      </c>
      <c r="D184" s="66" t="s">
        <v>42</v>
      </c>
      <c r="E184" s="81">
        <v>2025003050052</v>
      </c>
      <c r="F184" s="71" t="s">
        <v>480</v>
      </c>
      <c r="G184" s="69" t="s">
        <v>481</v>
      </c>
      <c r="H184" s="81">
        <v>1</v>
      </c>
      <c r="I184" s="69"/>
      <c r="J184" s="69"/>
      <c r="K184" s="2">
        <v>1727008802</v>
      </c>
      <c r="L184" s="69">
        <v>138722130</v>
      </c>
      <c r="M184" s="69">
        <f>+K184+L184</f>
        <v>1865730932</v>
      </c>
      <c r="N184" s="71" t="s">
        <v>37</v>
      </c>
      <c r="O184" s="71" t="s">
        <v>78</v>
      </c>
      <c r="P184" s="66">
        <v>2026</v>
      </c>
      <c r="Q184" s="66" t="s">
        <v>99</v>
      </c>
      <c r="R184" s="66"/>
      <c r="S184" s="66"/>
      <c r="T184" s="70"/>
      <c r="U184" s="71" t="s">
        <v>482</v>
      </c>
    </row>
    <row r="185" spans="1:21" ht="13.9">
      <c r="A185" s="108"/>
      <c r="B185" s="71" t="s">
        <v>472</v>
      </c>
      <c r="C185" s="66" t="s">
        <v>22</v>
      </c>
      <c r="D185" s="66" t="s">
        <v>42</v>
      </c>
      <c r="E185" s="81" t="s">
        <v>483</v>
      </c>
      <c r="F185" s="71" t="s">
        <v>80</v>
      </c>
      <c r="G185" s="66" t="s">
        <v>76</v>
      </c>
      <c r="H185" s="66">
        <v>1</v>
      </c>
      <c r="I185" s="66"/>
      <c r="J185" s="66"/>
      <c r="K185" s="2">
        <v>350000000</v>
      </c>
      <c r="L185" s="69">
        <v>1195924086</v>
      </c>
      <c r="M185" s="69">
        <f>+K185+L185</f>
        <v>1545924086</v>
      </c>
      <c r="N185" s="71" t="s">
        <v>73</v>
      </c>
      <c r="O185" s="71" t="s">
        <v>51</v>
      </c>
      <c r="P185" s="66">
        <v>2024</v>
      </c>
      <c r="Q185" s="66" t="s">
        <v>38</v>
      </c>
      <c r="R185" s="66"/>
      <c r="S185" s="66"/>
      <c r="T185" s="80">
        <v>1</v>
      </c>
      <c r="U185" s="71" t="s">
        <v>74</v>
      </c>
    </row>
    <row r="186" spans="1:21" ht="13.9">
      <c r="A186" s="72"/>
      <c r="B186" s="71" t="s">
        <v>484</v>
      </c>
      <c r="C186" s="66" t="s">
        <v>22</v>
      </c>
      <c r="D186" s="66" t="s">
        <v>131</v>
      </c>
      <c r="E186" s="81"/>
      <c r="F186" s="71" t="s">
        <v>451</v>
      </c>
      <c r="G186" s="66" t="s">
        <v>485</v>
      </c>
      <c r="H186" s="66">
        <v>6</v>
      </c>
      <c r="I186" s="71" t="s">
        <v>26</v>
      </c>
      <c r="J186" s="71" t="s">
        <v>134</v>
      </c>
      <c r="K186" s="2">
        <v>17166424376</v>
      </c>
      <c r="L186" s="69">
        <v>0</v>
      </c>
      <c r="M186" s="42">
        <f>+K186</f>
        <v>17166424376</v>
      </c>
      <c r="N186" s="71" t="s">
        <v>28</v>
      </c>
      <c r="O186" s="71" t="s">
        <v>78</v>
      </c>
      <c r="P186" s="66">
        <v>2024</v>
      </c>
      <c r="Q186" s="66" t="s">
        <v>115</v>
      </c>
      <c r="R186" s="66"/>
      <c r="S186" s="66"/>
      <c r="T186" s="80">
        <v>1</v>
      </c>
      <c r="U186" s="71" t="s">
        <v>69</v>
      </c>
    </row>
    <row r="187" spans="1:21" ht="13.9">
      <c r="A187" s="106"/>
      <c r="B187" s="71" t="s">
        <v>484</v>
      </c>
      <c r="C187" s="66" t="s">
        <v>22</v>
      </c>
      <c r="D187" s="66"/>
      <c r="E187" s="81"/>
      <c r="F187" s="71" t="s">
        <v>486</v>
      </c>
      <c r="G187" s="66" t="s">
        <v>487</v>
      </c>
      <c r="H187" s="66">
        <v>1.03</v>
      </c>
      <c r="I187" s="66"/>
      <c r="J187" s="66"/>
      <c r="K187" s="2">
        <v>9788000000</v>
      </c>
      <c r="L187" s="69">
        <v>0</v>
      </c>
      <c r="M187" s="69">
        <f>+K187</f>
        <v>9788000000</v>
      </c>
      <c r="N187" s="71" t="s">
        <v>28</v>
      </c>
      <c r="O187" s="71" t="s">
        <v>114</v>
      </c>
      <c r="P187" s="66">
        <v>2025</v>
      </c>
      <c r="Q187" s="66" t="s">
        <v>99</v>
      </c>
      <c r="R187" s="66"/>
      <c r="S187" s="66"/>
      <c r="T187" s="80"/>
      <c r="U187" s="71" t="s">
        <v>99</v>
      </c>
    </row>
    <row r="188" spans="1:21" ht="13.9">
      <c r="A188" s="106"/>
      <c r="B188" s="71" t="s">
        <v>484</v>
      </c>
      <c r="C188" s="66" t="s">
        <v>22</v>
      </c>
      <c r="D188" s="66" t="s">
        <v>42</v>
      </c>
      <c r="E188" s="81">
        <v>2026003050009</v>
      </c>
      <c r="F188" s="71" t="s">
        <v>75</v>
      </c>
      <c r="G188" s="66" t="s">
        <v>430</v>
      </c>
      <c r="H188" s="66">
        <v>1.95</v>
      </c>
      <c r="I188" s="66"/>
      <c r="J188" s="66"/>
      <c r="K188" s="2">
        <v>5112178665</v>
      </c>
      <c r="L188" s="69">
        <v>0</v>
      </c>
      <c r="M188" s="69">
        <f>+K188</f>
        <v>5112178665</v>
      </c>
      <c r="N188" s="71" t="s">
        <v>37</v>
      </c>
      <c r="O188" s="71" t="s">
        <v>135</v>
      </c>
      <c r="P188" s="66">
        <v>2026</v>
      </c>
      <c r="Q188" s="66" t="s">
        <v>99</v>
      </c>
      <c r="R188" s="66"/>
      <c r="S188" s="66"/>
      <c r="T188" s="80"/>
      <c r="U188" s="71"/>
    </row>
    <row r="189" spans="1:21" ht="40.9" customHeight="1">
      <c r="A189" s="107"/>
      <c r="B189" s="71" t="s">
        <v>484</v>
      </c>
      <c r="C189" s="66" t="s">
        <v>22</v>
      </c>
      <c r="D189" s="66" t="s">
        <v>488</v>
      </c>
      <c r="E189" s="81"/>
      <c r="F189" s="71" t="s">
        <v>489</v>
      </c>
      <c r="G189" s="66" t="s">
        <v>490</v>
      </c>
      <c r="H189" s="66">
        <v>76</v>
      </c>
      <c r="I189" s="66"/>
      <c r="J189" s="66"/>
      <c r="K189" s="69">
        <v>25056057449</v>
      </c>
      <c r="L189" s="69">
        <v>0</v>
      </c>
      <c r="M189" s="2">
        <f>+K189</f>
        <v>25056057449</v>
      </c>
      <c r="N189" s="71" t="s">
        <v>142</v>
      </c>
      <c r="O189" s="71" t="s">
        <v>488</v>
      </c>
      <c r="P189" s="66">
        <v>2025</v>
      </c>
      <c r="Q189" s="66" t="s">
        <v>30</v>
      </c>
      <c r="R189" s="66"/>
      <c r="S189" s="66"/>
      <c r="T189" s="66"/>
      <c r="U189" s="71" t="s">
        <v>30</v>
      </c>
    </row>
    <row r="190" spans="1:21" ht="81" hidden="1" customHeight="1">
      <c r="A190" s="66"/>
      <c r="B190" s="71" t="s">
        <v>491</v>
      </c>
      <c r="C190" s="66" t="s">
        <v>149</v>
      </c>
      <c r="D190" s="66" t="s">
        <v>23</v>
      </c>
      <c r="E190" s="81" t="s">
        <v>492</v>
      </c>
      <c r="F190" s="71" t="s">
        <v>493</v>
      </c>
      <c r="G190" s="71" t="s">
        <v>494</v>
      </c>
      <c r="H190" s="71" t="s">
        <v>495</v>
      </c>
      <c r="I190" s="71"/>
      <c r="J190" s="71"/>
      <c r="K190" s="79">
        <f>+M190</f>
        <v>37775453509</v>
      </c>
      <c r="L190" s="79">
        <v>0</v>
      </c>
      <c r="M190" s="2">
        <v>37775453509</v>
      </c>
      <c r="N190" s="79" t="s">
        <v>496</v>
      </c>
      <c r="O190" s="71" t="s">
        <v>96</v>
      </c>
      <c r="P190" s="66">
        <v>2023</v>
      </c>
      <c r="Q190" s="66"/>
      <c r="R190" s="66"/>
      <c r="S190" s="66"/>
      <c r="T190" s="40">
        <v>0.98</v>
      </c>
      <c r="U190" s="71" t="s">
        <v>30</v>
      </c>
    </row>
    <row r="191" spans="1:21" ht="64.900000000000006" customHeight="1">
      <c r="A191" s="93">
        <v>48</v>
      </c>
      <c r="B191" s="71" t="s">
        <v>491</v>
      </c>
      <c r="C191" s="66" t="s">
        <v>149</v>
      </c>
      <c r="D191" s="66" t="s">
        <v>23</v>
      </c>
      <c r="E191" s="81"/>
      <c r="F191" s="71" t="s">
        <v>101</v>
      </c>
      <c r="G191" s="71" t="s">
        <v>497</v>
      </c>
      <c r="H191" s="71" t="s">
        <v>498</v>
      </c>
      <c r="I191" s="71"/>
      <c r="J191" s="71"/>
      <c r="K191" s="79">
        <f>1341407247*33.395</f>
        <v>44796295013.565002</v>
      </c>
      <c r="L191" s="79">
        <v>0</v>
      </c>
      <c r="M191" s="2">
        <f>+K191</f>
        <v>44796295013.565002</v>
      </c>
      <c r="N191" s="79" t="s">
        <v>28</v>
      </c>
      <c r="O191" s="71" t="s">
        <v>96</v>
      </c>
      <c r="P191" s="66">
        <v>2025</v>
      </c>
      <c r="Q191" s="66" t="s">
        <v>30</v>
      </c>
      <c r="R191" s="85"/>
      <c r="S191" s="87"/>
      <c r="T191" s="80"/>
      <c r="U191" s="66" t="s">
        <v>154</v>
      </c>
    </row>
    <row r="192" spans="1:21" ht="81.599999999999994" customHeight="1">
      <c r="A192" s="93"/>
      <c r="B192" s="71" t="s">
        <v>491</v>
      </c>
      <c r="C192" s="66" t="s">
        <v>149</v>
      </c>
      <c r="D192" s="66" t="s">
        <v>42</v>
      </c>
      <c r="E192" s="81"/>
      <c r="F192" s="71" t="s">
        <v>499</v>
      </c>
      <c r="G192" s="66" t="s">
        <v>500</v>
      </c>
      <c r="H192" s="66">
        <v>0.25</v>
      </c>
      <c r="I192" s="66"/>
      <c r="J192" s="66"/>
      <c r="K192" s="2">
        <f>1984152341/4</f>
        <v>496038085.25</v>
      </c>
      <c r="L192" s="69">
        <v>0</v>
      </c>
      <c r="M192" s="69">
        <f>+K192</f>
        <v>496038085.25</v>
      </c>
      <c r="N192" s="79" t="s">
        <v>28</v>
      </c>
      <c r="O192" s="71" t="s">
        <v>45</v>
      </c>
      <c r="P192" s="66">
        <v>2025</v>
      </c>
      <c r="Q192" s="66" t="s">
        <v>38</v>
      </c>
      <c r="R192" s="66"/>
      <c r="S192" s="66"/>
      <c r="T192" s="70"/>
      <c r="U192" s="71" t="s">
        <v>343</v>
      </c>
    </row>
    <row r="193" spans="1:21" ht="13.9">
      <c r="A193" s="93"/>
      <c r="B193" s="71" t="s">
        <v>491</v>
      </c>
      <c r="C193" s="66" t="s">
        <v>149</v>
      </c>
      <c r="D193" s="66" t="s">
        <v>42</v>
      </c>
      <c r="E193" s="81">
        <v>2024003050242</v>
      </c>
      <c r="F193" s="71" t="s">
        <v>501</v>
      </c>
      <c r="G193" s="66" t="s">
        <v>201</v>
      </c>
      <c r="H193" s="66">
        <v>1.1000000000000001</v>
      </c>
      <c r="I193" s="66"/>
      <c r="J193" s="66"/>
      <c r="K193" s="69">
        <v>2151072713</v>
      </c>
      <c r="L193" s="69">
        <v>500197217</v>
      </c>
      <c r="M193" s="2">
        <f>+K193+L193</f>
        <v>2651269930</v>
      </c>
      <c r="N193" s="2" t="s">
        <v>37</v>
      </c>
      <c r="O193" s="2" t="s">
        <v>45</v>
      </c>
      <c r="P193" s="66">
        <v>2024</v>
      </c>
      <c r="Q193" s="66" t="s">
        <v>52</v>
      </c>
      <c r="R193" s="66"/>
      <c r="S193" s="66"/>
      <c r="T193" s="70">
        <v>1</v>
      </c>
      <c r="U193" s="66" t="s">
        <v>69</v>
      </c>
    </row>
    <row r="194" spans="1:21" ht="13.9" hidden="1">
      <c r="A194" s="66">
        <v>49</v>
      </c>
      <c r="B194" s="71" t="s">
        <v>502</v>
      </c>
      <c r="C194" s="66" t="s">
        <v>224</v>
      </c>
      <c r="D194" s="66"/>
      <c r="E194" s="81"/>
      <c r="F194" s="71"/>
      <c r="G194" s="66"/>
      <c r="H194" s="66"/>
      <c r="I194" s="66"/>
      <c r="J194" s="66"/>
      <c r="K194" s="69"/>
      <c r="L194" s="69"/>
      <c r="M194" s="69"/>
      <c r="N194" s="71"/>
      <c r="O194" s="71"/>
      <c r="P194" s="66"/>
      <c r="Q194" s="66"/>
      <c r="R194" s="66"/>
      <c r="S194" s="66"/>
      <c r="T194" s="66"/>
      <c r="U194" s="66"/>
    </row>
    <row r="195" spans="1:21" ht="13.9">
      <c r="A195" s="104"/>
      <c r="B195" s="71" t="s">
        <v>503</v>
      </c>
      <c r="C195" s="66" t="s">
        <v>83</v>
      </c>
      <c r="D195" s="66" t="s">
        <v>23</v>
      </c>
      <c r="E195" s="81">
        <v>4600017762</v>
      </c>
      <c r="F195" s="71" t="s">
        <v>208</v>
      </c>
      <c r="G195" s="66" t="s">
        <v>504</v>
      </c>
      <c r="H195" s="66">
        <v>69.900000000000006</v>
      </c>
      <c r="I195" s="66"/>
      <c r="J195" s="66"/>
      <c r="K195" s="2">
        <v>35807480</v>
      </c>
      <c r="L195" s="69">
        <v>0</v>
      </c>
      <c r="M195" s="69">
        <f>+K195</f>
        <v>35807480</v>
      </c>
      <c r="N195" s="71" t="s">
        <v>28</v>
      </c>
      <c r="O195" s="71" t="s">
        <v>51</v>
      </c>
      <c r="P195" s="66">
        <v>2024</v>
      </c>
      <c r="Q195" s="66"/>
      <c r="R195" s="66"/>
      <c r="S195" s="66"/>
      <c r="T195" s="70">
        <v>1</v>
      </c>
      <c r="U195" s="66" t="s">
        <v>81</v>
      </c>
    </row>
    <row r="196" spans="1:21" ht="24.6" customHeight="1">
      <c r="A196" s="100"/>
      <c r="B196" s="71" t="s">
        <v>503</v>
      </c>
      <c r="C196" s="66" t="s">
        <v>83</v>
      </c>
      <c r="D196" s="66" t="s">
        <v>42</v>
      </c>
      <c r="E196" s="81" t="s">
        <v>505</v>
      </c>
      <c r="F196" s="71" t="s">
        <v>80</v>
      </c>
      <c r="G196" s="66" t="s">
        <v>506</v>
      </c>
      <c r="H196" s="66">
        <v>0.7</v>
      </c>
      <c r="I196" s="66"/>
      <c r="J196" s="66"/>
      <c r="K196" s="69">
        <v>245000000</v>
      </c>
      <c r="L196" s="2">
        <v>771624990</v>
      </c>
      <c r="M196" s="69">
        <f>+K196+L196</f>
        <v>1016624990</v>
      </c>
      <c r="N196" s="71" t="s">
        <v>73</v>
      </c>
      <c r="O196" s="71" t="s">
        <v>51</v>
      </c>
      <c r="P196" s="66">
        <v>2024</v>
      </c>
      <c r="Q196" s="66"/>
      <c r="R196" s="66"/>
      <c r="S196" s="66"/>
      <c r="T196" s="70">
        <v>0.85</v>
      </c>
      <c r="U196" s="66" t="s">
        <v>30</v>
      </c>
    </row>
    <row r="197" spans="1:21" ht="13.9">
      <c r="A197" s="93">
        <v>51</v>
      </c>
      <c r="B197" s="71" t="s">
        <v>507</v>
      </c>
      <c r="C197" s="66" t="s">
        <v>41</v>
      </c>
      <c r="D197" s="66" t="s">
        <v>23</v>
      </c>
      <c r="E197" s="81"/>
      <c r="F197" s="71" t="s">
        <v>436</v>
      </c>
      <c r="G197" s="66" t="s">
        <v>508</v>
      </c>
      <c r="H197" s="66" t="s">
        <v>509</v>
      </c>
      <c r="I197" s="66"/>
      <c r="J197" s="66"/>
      <c r="K197" s="79">
        <f>1346222109*25</f>
        <v>33655552725</v>
      </c>
      <c r="L197" s="69">
        <v>0</v>
      </c>
      <c r="M197" s="69">
        <f>+K197</f>
        <v>33655552725</v>
      </c>
      <c r="N197" s="71" t="s">
        <v>28</v>
      </c>
      <c r="O197" s="71" t="s">
        <v>96</v>
      </c>
      <c r="P197" s="66">
        <v>2025</v>
      </c>
      <c r="Q197" s="66" t="s">
        <v>30</v>
      </c>
      <c r="R197" s="85"/>
      <c r="S197" s="87"/>
      <c r="T197" s="80"/>
      <c r="U197" s="66" t="s">
        <v>154</v>
      </c>
    </row>
    <row r="198" spans="1:21" ht="13.9">
      <c r="A198" s="93"/>
      <c r="B198" s="71" t="s">
        <v>507</v>
      </c>
      <c r="C198" s="66" t="s">
        <v>41</v>
      </c>
      <c r="D198" s="66" t="s">
        <v>42</v>
      </c>
      <c r="E198" s="81" t="s">
        <v>510</v>
      </c>
      <c r="F198" s="71" t="s">
        <v>265</v>
      </c>
      <c r="G198" s="71" t="s">
        <v>141</v>
      </c>
      <c r="H198" s="71">
        <v>0.2</v>
      </c>
      <c r="I198" s="71"/>
      <c r="J198" s="71"/>
      <c r="K198" s="79">
        <v>70000000</v>
      </c>
      <c r="L198" s="69">
        <v>156527690</v>
      </c>
      <c r="M198" s="69">
        <f>+K198+L198</f>
        <v>226527690</v>
      </c>
      <c r="N198" s="71" t="s">
        <v>73</v>
      </c>
      <c r="O198" s="71" t="s">
        <v>51</v>
      </c>
      <c r="P198" s="66">
        <v>2025</v>
      </c>
      <c r="Q198" s="66" t="s">
        <v>38</v>
      </c>
      <c r="R198" s="66"/>
      <c r="S198" s="66"/>
      <c r="T198" s="70">
        <v>1</v>
      </c>
      <c r="U198" s="66" t="s">
        <v>30</v>
      </c>
    </row>
    <row r="199" spans="1:21" ht="13.9">
      <c r="A199" s="93"/>
      <c r="B199" s="71" t="s">
        <v>507</v>
      </c>
      <c r="C199" s="66" t="s">
        <v>41</v>
      </c>
      <c r="D199" s="66" t="s">
        <v>42</v>
      </c>
      <c r="E199" s="81" t="s">
        <v>511</v>
      </c>
      <c r="F199" s="71" t="s">
        <v>512</v>
      </c>
      <c r="G199" s="71" t="s">
        <v>204</v>
      </c>
      <c r="H199" s="71">
        <v>0.1</v>
      </c>
      <c r="I199" s="71"/>
      <c r="J199" s="71"/>
      <c r="K199" s="79">
        <v>114155834</v>
      </c>
      <c r="L199" s="69">
        <v>14316648</v>
      </c>
      <c r="M199" s="69">
        <f>+K199+L199</f>
        <v>128472482</v>
      </c>
      <c r="N199" s="71" t="s">
        <v>28</v>
      </c>
      <c r="O199" s="71" t="s">
        <v>51</v>
      </c>
      <c r="P199" s="66">
        <v>2025</v>
      </c>
      <c r="Q199" s="66" t="s">
        <v>513</v>
      </c>
      <c r="R199" s="66"/>
      <c r="S199" s="66"/>
      <c r="T199" s="70">
        <v>1</v>
      </c>
      <c r="U199" s="66" t="s">
        <v>74</v>
      </c>
    </row>
    <row r="200" spans="1:21" ht="40.9" customHeight="1">
      <c r="A200" s="93"/>
      <c r="B200" s="71" t="s">
        <v>507</v>
      </c>
      <c r="C200" s="66" t="s">
        <v>41</v>
      </c>
      <c r="D200" s="66" t="s">
        <v>42</v>
      </c>
      <c r="E200" s="81" t="s">
        <v>146</v>
      </c>
      <c r="F200" s="71" t="s">
        <v>80</v>
      </c>
      <c r="G200" s="66" t="s">
        <v>76</v>
      </c>
      <c r="H200" s="66">
        <v>1</v>
      </c>
      <c r="I200" s="66"/>
      <c r="J200" s="66"/>
      <c r="K200" s="69">
        <v>308854568</v>
      </c>
      <c r="L200" s="69">
        <v>352294489</v>
      </c>
      <c r="M200" s="2">
        <v>886149057</v>
      </c>
      <c r="N200" s="71" t="s">
        <v>147</v>
      </c>
      <c r="O200" s="71" t="s">
        <v>51</v>
      </c>
      <c r="P200" s="66">
        <v>2024</v>
      </c>
      <c r="Q200" s="66" t="s">
        <v>38</v>
      </c>
      <c r="R200" s="66"/>
      <c r="S200" s="66"/>
      <c r="T200" s="70">
        <v>1</v>
      </c>
      <c r="U200" s="66" t="s">
        <v>74</v>
      </c>
    </row>
    <row r="201" spans="1:21" ht="40.9" customHeight="1">
      <c r="A201" s="66"/>
      <c r="B201" s="71" t="s">
        <v>514</v>
      </c>
      <c r="C201" s="66" t="s">
        <v>41</v>
      </c>
      <c r="D201" s="66" t="s">
        <v>42</v>
      </c>
      <c r="E201" s="81" t="s">
        <v>515</v>
      </c>
      <c r="F201" s="71" t="s">
        <v>75</v>
      </c>
      <c r="G201" s="66" t="s">
        <v>399</v>
      </c>
      <c r="H201" s="66">
        <v>0.5</v>
      </c>
      <c r="I201" s="66"/>
      <c r="J201" s="66"/>
      <c r="K201" s="69">
        <v>175000000</v>
      </c>
      <c r="L201" s="69">
        <v>319023422</v>
      </c>
      <c r="M201" s="2">
        <f>+K201+L201</f>
        <v>494023422</v>
      </c>
      <c r="N201" s="71" t="s">
        <v>73</v>
      </c>
      <c r="O201" s="71" t="s">
        <v>51</v>
      </c>
      <c r="P201" s="66">
        <v>2025</v>
      </c>
      <c r="Q201" s="66"/>
      <c r="R201" s="66"/>
      <c r="S201" s="66"/>
      <c r="T201" s="70">
        <v>0.9</v>
      </c>
      <c r="U201" s="66" t="s">
        <v>30</v>
      </c>
    </row>
    <row r="202" spans="1:21" ht="40.9" customHeight="1">
      <c r="A202" s="66"/>
      <c r="B202" s="71" t="s">
        <v>514</v>
      </c>
      <c r="C202" s="66" t="s">
        <v>41</v>
      </c>
      <c r="D202" s="66"/>
      <c r="E202" s="81" t="s">
        <v>62</v>
      </c>
      <c r="F202" s="71" t="s">
        <v>516</v>
      </c>
      <c r="G202" s="66" t="s">
        <v>54</v>
      </c>
      <c r="H202" s="66">
        <v>10</v>
      </c>
      <c r="I202" s="66"/>
      <c r="J202" s="66"/>
      <c r="K202" s="69">
        <v>25000000000</v>
      </c>
      <c r="L202" s="69">
        <v>0</v>
      </c>
      <c r="M202" s="2">
        <f>+K202</f>
        <v>25000000000</v>
      </c>
      <c r="N202" s="71" t="s">
        <v>28</v>
      </c>
      <c r="O202" s="71"/>
      <c r="P202" s="66">
        <v>2025</v>
      </c>
      <c r="Q202" s="66" t="s">
        <v>129</v>
      </c>
      <c r="R202" s="66"/>
      <c r="S202" s="66"/>
      <c r="T202" s="70"/>
      <c r="U202" s="66"/>
    </row>
    <row r="203" spans="1:21" ht="13.9">
      <c r="A203" s="66">
        <v>52</v>
      </c>
      <c r="B203" s="71" t="s">
        <v>514</v>
      </c>
      <c r="C203" s="66" t="s">
        <v>41</v>
      </c>
      <c r="D203" s="66" t="s">
        <v>42</v>
      </c>
      <c r="E203" s="81">
        <v>2024003050236</v>
      </c>
      <c r="F203" s="71" t="s">
        <v>517</v>
      </c>
      <c r="G203" s="66" t="s">
        <v>518</v>
      </c>
      <c r="H203" s="66">
        <v>0.95</v>
      </c>
      <c r="I203" s="66"/>
      <c r="J203" s="66"/>
      <c r="K203" s="2">
        <v>1210895732</v>
      </c>
      <c r="L203" s="2">
        <f>+M203-K203</f>
        <v>302723933</v>
      </c>
      <c r="M203" s="2">
        <v>1513619665</v>
      </c>
      <c r="N203" s="2" t="s">
        <v>37</v>
      </c>
      <c r="O203" s="2" t="s">
        <v>45</v>
      </c>
      <c r="P203" s="66">
        <v>2024</v>
      </c>
      <c r="Q203" s="66" t="s">
        <v>52</v>
      </c>
      <c r="R203" s="66"/>
      <c r="S203" s="66"/>
      <c r="T203" s="80">
        <v>1</v>
      </c>
      <c r="U203" s="71" t="s">
        <v>69</v>
      </c>
    </row>
    <row r="204" spans="1:21" ht="40.9" customHeight="1">
      <c r="A204" s="93">
        <v>53</v>
      </c>
      <c r="B204" s="71" t="s">
        <v>519</v>
      </c>
      <c r="C204" s="66" t="s">
        <v>224</v>
      </c>
      <c r="D204" s="66" t="s">
        <v>42</v>
      </c>
      <c r="E204" s="81" t="s">
        <v>146</v>
      </c>
      <c r="F204" s="71" t="s">
        <v>80</v>
      </c>
      <c r="G204" s="66" t="s">
        <v>76</v>
      </c>
      <c r="H204" s="66">
        <v>1</v>
      </c>
      <c r="I204" s="66"/>
      <c r="J204" s="66"/>
      <c r="K204" s="2">
        <v>264662480</v>
      </c>
      <c r="L204" s="69">
        <v>374832629</v>
      </c>
      <c r="M204" s="69">
        <v>824495109</v>
      </c>
      <c r="N204" s="71" t="s">
        <v>147</v>
      </c>
      <c r="O204" s="71" t="s">
        <v>51</v>
      </c>
      <c r="P204" s="66">
        <v>2024</v>
      </c>
      <c r="Q204" s="66" t="s">
        <v>38</v>
      </c>
      <c r="R204" s="66"/>
      <c r="S204" s="66"/>
      <c r="T204" s="80">
        <v>1</v>
      </c>
      <c r="U204" s="71" t="s">
        <v>74</v>
      </c>
    </row>
    <row r="205" spans="1:21" ht="55.15" hidden="1">
      <c r="A205" s="93"/>
      <c r="B205" s="71" t="s">
        <v>519</v>
      </c>
      <c r="C205" s="66" t="s">
        <v>224</v>
      </c>
      <c r="D205" s="66" t="s">
        <v>42</v>
      </c>
      <c r="E205" s="81">
        <v>2021003050081</v>
      </c>
      <c r="F205" s="71" t="s">
        <v>520</v>
      </c>
      <c r="G205" s="66" t="s">
        <v>521</v>
      </c>
      <c r="H205" s="66">
        <v>2.4500000000000002</v>
      </c>
      <c r="I205" s="66"/>
      <c r="J205" s="66"/>
      <c r="K205" s="2">
        <v>5030000000</v>
      </c>
      <c r="L205" s="69">
        <v>929138277</v>
      </c>
      <c r="M205" s="69">
        <f>+K205+L205</f>
        <v>5959138277</v>
      </c>
      <c r="N205" s="71" t="s">
        <v>37</v>
      </c>
      <c r="O205" s="71" t="s">
        <v>45</v>
      </c>
      <c r="P205" s="66">
        <v>2021</v>
      </c>
      <c r="Q205" s="66" t="s">
        <v>30</v>
      </c>
      <c r="R205" s="66"/>
      <c r="S205" s="66"/>
      <c r="T205" s="80">
        <v>0.69540000000000002</v>
      </c>
      <c r="U205" s="71" t="s">
        <v>522</v>
      </c>
    </row>
    <row r="206" spans="1:21" ht="13.9">
      <c r="A206" s="93"/>
      <c r="B206" s="66" t="s">
        <v>523</v>
      </c>
      <c r="C206" s="66" t="s">
        <v>224</v>
      </c>
      <c r="D206" s="66" t="s">
        <v>42</v>
      </c>
      <c r="E206" s="81" t="s">
        <v>524</v>
      </c>
      <c r="F206" s="71" t="s">
        <v>80</v>
      </c>
      <c r="G206" s="66" t="s">
        <v>525</v>
      </c>
      <c r="H206" s="66">
        <v>0.53</v>
      </c>
      <c r="I206" s="66"/>
      <c r="J206" s="66"/>
      <c r="K206" s="2">
        <v>180782009</v>
      </c>
      <c r="L206" s="69">
        <v>225000000</v>
      </c>
      <c r="M206" s="69">
        <f>+L206+K206</f>
        <v>405782009</v>
      </c>
      <c r="N206" s="71" t="s">
        <v>73</v>
      </c>
      <c r="O206" s="71" t="s">
        <v>51</v>
      </c>
      <c r="P206" s="66">
        <v>2024</v>
      </c>
      <c r="Q206" s="66" t="s">
        <v>30</v>
      </c>
      <c r="R206" s="66"/>
      <c r="S206" s="66"/>
      <c r="T206" s="70">
        <v>1</v>
      </c>
      <c r="U206" s="66" t="s">
        <v>30</v>
      </c>
    </row>
    <row r="207" spans="1:21" ht="13.9">
      <c r="A207" s="93">
        <v>54</v>
      </c>
      <c r="B207" s="71" t="s">
        <v>526</v>
      </c>
      <c r="C207" s="66" t="s">
        <v>149</v>
      </c>
      <c r="D207" s="66" t="s">
        <v>42</v>
      </c>
      <c r="E207" s="81" t="s">
        <v>527</v>
      </c>
      <c r="F207" s="71" t="s">
        <v>80</v>
      </c>
      <c r="G207" s="66" t="s">
        <v>76</v>
      </c>
      <c r="H207" s="66">
        <v>1</v>
      </c>
      <c r="I207" s="66"/>
      <c r="J207" s="66"/>
      <c r="K207" s="2">
        <v>350000000</v>
      </c>
      <c r="L207" s="69">
        <v>390331791</v>
      </c>
      <c r="M207" s="69">
        <f>+K207+L207</f>
        <v>740331791</v>
      </c>
      <c r="N207" s="79" t="s">
        <v>73</v>
      </c>
      <c r="O207" s="71" t="s">
        <v>51</v>
      </c>
      <c r="P207" s="66">
        <v>2025</v>
      </c>
      <c r="Q207" s="66"/>
      <c r="R207" s="66"/>
      <c r="S207" s="66"/>
      <c r="T207" s="70">
        <v>1</v>
      </c>
      <c r="U207" s="66" t="s">
        <v>74</v>
      </c>
    </row>
    <row r="208" spans="1:21" ht="13.9">
      <c r="A208" s="93"/>
      <c r="B208" s="71" t="s">
        <v>526</v>
      </c>
      <c r="C208" s="66" t="s">
        <v>149</v>
      </c>
      <c r="D208" s="66" t="s">
        <v>42</v>
      </c>
      <c r="E208" s="81">
        <v>2025003050015</v>
      </c>
      <c r="F208" s="71" t="s">
        <v>75</v>
      </c>
      <c r="G208" s="66" t="s">
        <v>528</v>
      </c>
      <c r="H208" s="66">
        <v>1.8089999999999999</v>
      </c>
      <c r="I208" s="66"/>
      <c r="J208" s="66"/>
      <c r="K208" s="69">
        <f>4294044919*0.8</f>
        <v>3435235935.2000003</v>
      </c>
      <c r="L208" s="69">
        <f>4294044919*0.2</f>
        <v>858808983.80000007</v>
      </c>
      <c r="M208" s="2">
        <f>+K208+L208</f>
        <v>4294044919.0000005</v>
      </c>
      <c r="N208" s="2" t="s">
        <v>37</v>
      </c>
      <c r="O208" s="2" t="s">
        <v>45</v>
      </c>
      <c r="P208" s="66">
        <v>2025</v>
      </c>
      <c r="Q208" s="66" t="s">
        <v>52</v>
      </c>
      <c r="R208" s="66"/>
      <c r="S208" s="66"/>
      <c r="T208" s="80">
        <v>1</v>
      </c>
      <c r="U208" s="71" t="s">
        <v>30</v>
      </c>
    </row>
    <row r="209" spans="1:21" ht="32.450000000000003" customHeight="1">
      <c r="A209" s="93">
        <v>55</v>
      </c>
      <c r="B209" s="71" t="s">
        <v>529</v>
      </c>
      <c r="C209" s="66" t="s">
        <v>22</v>
      </c>
      <c r="D209" s="66" t="s">
        <v>23</v>
      </c>
      <c r="E209" s="81">
        <v>4600018900</v>
      </c>
      <c r="F209" s="71" t="s">
        <v>101</v>
      </c>
      <c r="G209" s="71" t="s">
        <v>530</v>
      </c>
      <c r="H209" s="71" t="s">
        <v>531</v>
      </c>
      <c r="I209" s="71"/>
      <c r="J209" s="71"/>
      <c r="K209" s="79">
        <f>'Estabilización datos '!G3*5.33</f>
        <v>9196540962.9622536</v>
      </c>
      <c r="L209" s="79">
        <v>0</v>
      </c>
      <c r="M209" s="2">
        <f>+K209</f>
        <v>9196540962.9622536</v>
      </c>
      <c r="N209" s="2" t="s">
        <v>28</v>
      </c>
      <c r="O209" s="66" t="s">
        <v>29</v>
      </c>
      <c r="P209" s="66">
        <v>2025</v>
      </c>
      <c r="Q209" s="66" t="s">
        <v>30</v>
      </c>
      <c r="R209" s="85"/>
      <c r="S209" s="87"/>
      <c r="T209" s="80"/>
      <c r="U209" s="76" t="s">
        <v>461</v>
      </c>
    </row>
    <row r="210" spans="1:21" ht="13.9">
      <c r="A210" s="93"/>
      <c r="B210" s="71" t="s">
        <v>529</v>
      </c>
      <c r="C210" s="66" t="s">
        <v>22</v>
      </c>
      <c r="D210" s="66" t="s">
        <v>42</v>
      </c>
      <c r="E210" s="81">
        <v>2025003050026</v>
      </c>
      <c r="F210" s="71" t="s">
        <v>532</v>
      </c>
      <c r="G210" s="66" t="s">
        <v>533</v>
      </c>
      <c r="H210" s="66">
        <v>1.63</v>
      </c>
      <c r="I210" s="66"/>
      <c r="J210" s="66"/>
      <c r="K210" s="42">
        <v>2972183975</v>
      </c>
      <c r="L210" s="69">
        <v>743045994</v>
      </c>
      <c r="M210" s="42">
        <f>+K210+L210</f>
        <v>3715229969</v>
      </c>
      <c r="N210" s="2" t="s">
        <v>37</v>
      </c>
      <c r="O210" s="2" t="s">
        <v>45</v>
      </c>
      <c r="P210" s="66">
        <v>2025</v>
      </c>
      <c r="Q210" s="66" t="s">
        <v>30</v>
      </c>
      <c r="R210" s="66"/>
      <c r="S210" s="66"/>
      <c r="T210" s="80">
        <v>0.57999999999999996</v>
      </c>
      <c r="U210" s="71"/>
    </row>
    <row r="211" spans="1:21" ht="16.149999999999999" customHeight="1">
      <c r="A211" s="93"/>
      <c r="B211" s="71" t="s">
        <v>529</v>
      </c>
      <c r="C211" s="66" t="s">
        <v>22</v>
      </c>
      <c r="D211" s="66" t="s">
        <v>42</v>
      </c>
      <c r="E211" s="81" t="s">
        <v>534</v>
      </c>
      <c r="F211" s="71" t="s">
        <v>80</v>
      </c>
      <c r="G211" s="66" t="s">
        <v>535</v>
      </c>
      <c r="H211" s="66">
        <v>0.5</v>
      </c>
      <c r="I211" s="66"/>
      <c r="J211" s="66"/>
      <c r="K211" s="2">
        <v>175000000</v>
      </c>
      <c r="L211" s="69">
        <v>411546429</v>
      </c>
      <c r="M211" s="69">
        <f>+K211+L211</f>
        <v>586546429</v>
      </c>
      <c r="N211" s="71" t="s">
        <v>73</v>
      </c>
      <c r="O211" s="71" t="s">
        <v>51</v>
      </c>
      <c r="P211" s="66">
        <v>2024</v>
      </c>
      <c r="Q211" s="66" t="s">
        <v>38</v>
      </c>
      <c r="R211" s="66"/>
      <c r="S211" s="66"/>
      <c r="T211" s="70">
        <v>1</v>
      </c>
      <c r="U211" s="66"/>
    </row>
    <row r="212" spans="1:21" ht="80.45" customHeight="1">
      <c r="A212" s="93">
        <v>56</v>
      </c>
      <c r="B212" s="71" t="s">
        <v>526</v>
      </c>
      <c r="C212" s="66" t="s">
        <v>149</v>
      </c>
      <c r="D212" s="66" t="s">
        <v>23</v>
      </c>
      <c r="E212" s="81"/>
      <c r="F212" s="71" t="s">
        <v>101</v>
      </c>
      <c r="G212" s="71" t="s">
        <v>536</v>
      </c>
      <c r="H212" s="71" t="s">
        <v>537</v>
      </c>
      <c r="I212" s="71"/>
      <c r="J212" s="71"/>
      <c r="K212" s="79">
        <f>1341407247*10.61</f>
        <v>14232330890.67</v>
      </c>
      <c r="L212" s="79">
        <v>0</v>
      </c>
      <c r="M212" s="2">
        <f>+K212</f>
        <v>14232330890.67</v>
      </c>
      <c r="N212" s="79" t="s">
        <v>28</v>
      </c>
      <c r="O212" s="71" t="s">
        <v>96</v>
      </c>
      <c r="P212" s="66">
        <v>2025</v>
      </c>
      <c r="Q212" s="66" t="s">
        <v>30</v>
      </c>
      <c r="R212" s="85"/>
      <c r="S212" s="87"/>
      <c r="T212" s="80"/>
      <c r="U212" s="66" t="s">
        <v>154</v>
      </c>
    </row>
    <row r="213" spans="1:21" ht="13.9">
      <c r="A213" s="93"/>
      <c r="B213" s="71" t="s">
        <v>538</v>
      </c>
      <c r="C213" s="66" t="s">
        <v>149</v>
      </c>
      <c r="D213" s="66" t="s">
        <v>42</v>
      </c>
      <c r="E213" s="81">
        <v>2024053150037</v>
      </c>
      <c r="F213" s="71" t="s">
        <v>75</v>
      </c>
      <c r="G213" s="66" t="s">
        <v>539</v>
      </c>
      <c r="H213" s="66">
        <v>1.8660000000000001</v>
      </c>
      <c r="I213" s="66"/>
      <c r="J213" s="66"/>
      <c r="K213" s="69">
        <f>3945999620*0.8</f>
        <v>3156799696</v>
      </c>
      <c r="L213" s="69">
        <f>3945999620*0.2</f>
        <v>789199924</v>
      </c>
      <c r="M213" s="69">
        <f>+K213+L213</f>
        <v>3945999620</v>
      </c>
      <c r="N213" s="2" t="s">
        <v>37</v>
      </c>
      <c r="O213" s="2" t="s">
        <v>45</v>
      </c>
      <c r="P213" s="66">
        <v>2024</v>
      </c>
      <c r="Q213" s="66" t="s">
        <v>52</v>
      </c>
      <c r="R213" s="66"/>
      <c r="S213" s="66"/>
      <c r="T213" s="80">
        <v>1</v>
      </c>
      <c r="U213" s="71" t="s">
        <v>115</v>
      </c>
    </row>
    <row r="214" spans="1:21" ht="27.6">
      <c r="A214" s="105">
        <v>57</v>
      </c>
      <c r="B214" s="71" t="s">
        <v>540</v>
      </c>
      <c r="C214" s="66" t="s">
        <v>22</v>
      </c>
      <c r="D214" s="66" t="s">
        <v>23</v>
      </c>
      <c r="E214" s="81"/>
      <c r="F214" s="71" t="s">
        <v>541</v>
      </c>
      <c r="G214" s="71" t="s">
        <v>542</v>
      </c>
      <c r="H214" s="71" t="s">
        <v>542</v>
      </c>
      <c r="I214" s="71"/>
      <c r="J214" s="71"/>
      <c r="K214" s="69">
        <v>0</v>
      </c>
      <c r="L214" s="69">
        <v>0</v>
      </c>
      <c r="M214" s="69">
        <v>0</v>
      </c>
      <c r="N214" s="2" t="s">
        <v>62</v>
      </c>
      <c r="O214" s="2" t="s">
        <v>51</v>
      </c>
      <c r="P214" s="66">
        <v>2025</v>
      </c>
      <c r="Q214" s="66" t="s">
        <v>30</v>
      </c>
      <c r="R214" s="66"/>
      <c r="S214" s="66"/>
      <c r="T214" s="80">
        <v>0.9</v>
      </c>
      <c r="U214" s="71" t="s">
        <v>30</v>
      </c>
    </row>
    <row r="215" spans="1:21" ht="13.9">
      <c r="A215" s="106"/>
      <c r="B215" s="71" t="s">
        <v>540</v>
      </c>
      <c r="C215" s="66" t="s">
        <v>22</v>
      </c>
      <c r="D215" s="66" t="s">
        <v>42</v>
      </c>
      <c r="E215" s="81" t="s">
        <v>543</v>
      </c>
      <c r="F215" s="71" t="s">
        <v>544</v>
      </c>
      <c r="G215" s="71" t="s">
        <v>545</v>
      </c>
      <c r="H215" s="71">
        <v>0.12</v>
      </c>
      <c r="I215" s="71"/>
      <c r="J215" s="71"/>
      <c r="K215" s="43">
        <v>117775259</v>
      </c>
      <c r="L215" s="43">
        <v>12178378</v>
      </c>
      <c r="M215" s="43">
        <f>+L215+K215</f>
        <v>129953637</v>
      </c>
      <c r="N215" s="2" t="s">
        <v>28</v>
      </c>
      <c r="O215" s="2" t="s">
        <v>51</v>
      </c>
      <c r="P215" s="66">
        <v>2025</v>
      </c>
      <c r="Q215" s="66" t="s">
        <v>52</v>
      </c>
      <c r="R215" s="66"/>
      <c r="S215" s="66"/>
      <c r="T215" s="80">
        <v>1</v>
      </c>
      <c r="U215" s="71" t="s">
        <v>74</v>
      </c>
    </row>
    <row r="216" spans="1:21" ht="13.9">
      <c r="A216" s="106"/>
      <c r="B216" s="71" t="s">
        <v>540</v>
      </c>
      <c r="C216" s="66" t="s">
        <v>22</v>
      </c>
      <c r="D216" s="66" t="s">
        <v>42</v>
      </c>
      <c r="E216" s="81" t="s">
        <v>546</v>
      </c>
      <c r="F216" s="71" t="s">
        <v>547</v>
      </c>
      <c r="G216" s="71" t="s">
        <v>204</v>
      </c>
      <c r="H216" s="71">
        <v>0.1</v>
      </c>
      <c r="I216" s="71"/>
      <c r="J216" s="71"/>
      <c r="K216" s="43">
        <v>111992339</v>
      </c>
      <c r="L216" s="43">
        <v>19149179</v>
      </c>
      <c r="M216" s="43">
        <f>+L216+K216</f>
        <v>131141518</v>
      </c>
      <c r="N216" s="2" t="s">
        <v>28</v>
      </c>
      <c r="O216" s="2" t="s">
        <v>51</v>
      </c>
      <c r="P216" s="66">
        <v>2025</v>
      </c>
      <c r="Q216" s="66" t="s">
        <v>30</v>
      </c>
      <c r="R216" s="66"/>
      <c r="S216" s="66"/>
      <c r="T216" s="80">
        <v>0.43</v>
      </c>
      <c r="U216" s="71" t="s">
        <v>343</v>
      </c>
    </row>
    <row r="217" spans="1:21" ht="41.45">
      <c r="A217" s="104"/>
      <c r="B217" s="71" t="s">
        <v>540</v>
      </c>
      <c r="C217" s="66" t="s">
        <v>22</v>
      </c>
      <c r="D217" s="66" t="s">
        <v>23</v>
      </c>
      <c r="E217" s="81">
        <v>4600018900</v>
      </c>
      <c r="F217" s="71" t="s">
        <v>436</v>
      </c>
      <c r="G217" s="71" t="s">
        <v>548</v>
      </c>
      <c r="H217" s="71" t="s">
        <v>549</v>
      </c>
      <c r="I217" s="71"/>
      <c r="J217" s="71"/>
      <c r="K217" s="79">
        <v>5110154505</v>
      </c>
      <c r="L217" s="69">
        <v>0</v>
      </c>
      <c r="M217" s="69">
        <f>+K217</f>
        <v>5110154505</v>
      </c>
      <c r="N217" s="2" t="s">
        <v>28</v>
      </c>
      <c r="O217" s="66" t="s">
        <v>29</v>
      </c>
      <c r="P217" s="66">
        <v>2025</v>
      </c>
      <c r="Q217" s="66" t="s">
        <v>30</v>
      </c>
      <c r="R217" s="85"/>
      <c r="S217" s="87"/>
      <c r="T217" s="80">
        <v>0.01</v>
      </c>
      <c r="U217" s="76" t="s">
        <v>550</v>
      </c>
    </row>
    <row r="218" spans="1:21" ht="13.9">
      <c r="A218" s="107"/>
      <c r="B218" s="71" t="s">
        <v>540</v>
      </c>
      <c r="C218" s="66" t="s">
        <v>22</v>
      </c>
      <c r="D218" s="66" t="s">
        <v>42</v>
      </c>
      <c r="E218" s="81" t="s">
        <v>551</v>
      </c>
      <c r="F218" s="71" t="s">
        <v>80</v>
      </c>
      <c r="G218" s="66" t="s">
        <v>76</v>
      </c>
      <c r="H218" s="66">
        <v>1</v>
      </c>
      <c r="I218" s="66"/>
      <c r="J218" s="66"/>
      <c r="K218" s="2">
        <v>349975959</v>
      </c>
      <c r="L218" s="69">
        <v>1408091719</v>
      </c>
      <c r="M218" s="2">
        <f>+K218+L218</f>
        <v>1758067678</v>
      </c>
      <c r="N218" s="66" t="s">
        <v>73</v>
      </c>
      <c r="O218" s="66" t="s">
        <v>51</v>
      </c>
      <c r="P218" s="66">
        <v>2024</v>
      </c>
      <c r="Q218" s="66" t="s">
        <v>38</v>
      </c>
      <c r="R218" s="66"/>
      <c r="S218" s="66"/>
      <c r="T218" s="70">
        <v>1</v>
      </c>
      <c r="U218" s="66" t="s">
        <v>81</v>
      </c>
    </row>
    <row r="219" spans="1:21" ht="13.9">
      <c r="A219" s="74"/>
      <c r="B219" s="71" t="s">
        <v>552</v>
      </c>
      <c r="C219" s="66" t="s">
        <v>22</v>
      </c>
      <c r="D219" s="66" t="s">
        <v>42</v>
      </c>
      <c r="E219" s="81" t="s">
        <v>553</v>
      </c>
      <c r="F219" s="71" t="s">
        <v>554</v>
      </c>
      <c r="G219" s="66" t="s">
        <v>204</v>
      </c>
      <c r="H219" s="66">
        <v>0.1</v>
      </c>
      <c r="I219" s="66"/>
      <c r="J219" s="66"/>
      <c r="K219" s="9">
        <v>122499134</v>
      </c>
      <c r="L219" s="43">
        <v>12325230</v>
      </c>
      <c r="M219" s="9">
        <f>+K219+L219</f>
        <v>134824364</v>
      </c>
      <c r="N219" s="66" t="s">
        <v>28</v>
      </c>
      <c r="O219" s="66" t="s">
        <v>51</v>
      </c>
      <c r="P219" s="66">
        <v>2025</v>
      </c>
      <c r="Q219" s="66" t="s">
        <v>38</v>
      </c>
      <c r="R219" s="66"/>
      <c r="S219" s="66"/>
      <c r="T219" s="70">
        <v>1</v>
      </c>
      <c r="U219" s="66" t="s">
        <v>74</v>
      </c>
    </row>
    <row r="220" spans="1:21" ht="13.9">
      <c r="A220" s="74"/>
      <c r="B220" s="71" t="s">
        <v>552</v>
      </c>
      <c r="C220" s="66" t="s">
        <v>22</v>
      </c>
      <c r="D220" s="66" t="s">
        <v>42</v>
      </c>
      <c r="E220" s="81" t="s">
        <v>555</v>
      </c>
      <c r="F220" s="71" t="s">
        <v>556</v>
      </c>
      <c r="G220" s="66" t="s">
        <v>204</v>
      </c>
      <c r="H220" s="66">
        <v>0.1</v>
      </c>
      <c r="I220" s="66"/>
      <c r="J220" s="66"/>
      <c r="K220" s="9">
        <v>121910004</v>
      </c>
      <c r="L220" s="43">
        <v>15729347</v>
      </c>
      <c r="M220" s="9">
        <f>+K220+L220</f>
        <v>137639351</v>
      </c>
      <c r="N220" s="66" t="s">
        <v>28</v>
      </c>
      <c r="O220" s="66" t="s">
        <v>51</v>
      </c>
      <c r="P220" s="66">
        <v>2025</v>
      </c>
      <c r="Q220" s="66" t="s">
        <v>38</v>
      </c>
      <c r="R220" s="66"/>
      <c r="S220" s="66"/>
      <c r="T220" s="70">
        <v>1</v>
      </c>
      <c r="U220" s="66" t="s">
        <v>74</v>
      </c>
    </row>
    <row r="221" spans="1:21" ht="13.9" hidden="1">
      <c r="A221" s="74"/>
      <c r="B221" s="71" t="s">
        <v>552</v>
      </c>
      <c r="C221" s="66" t="s">
        <v>22</v>
      </c>
      <c r="D221" s="66" t="s">
        <v>66</v>
      </c>
      <c r="E221" s="81">
        <v>2023003050099</v>
      </c>
      <c r="F221" s="71" t="s">
        <v>557</v>
      </c>
      <c r="G221" s="66" t="s">
        <v>558</v>
      </c>
      <c r="H221" s="66">
        <v>0.47</v>
      </c>
      <c r="I221" s="66"/>
      <c r="J221" s="66"/>
      <c r="K221" s="2">
        <v>1500000000</v>
      </c>
      <c r="L221" s="69">
        <v>0</v>
      </c>
      <c r="M221" s="2">
        <v>369035996</v>
      </c>
      <c r="N221" s="66" t="s">
        <v>37</v>
      </c>
      <c r="O221" s="66" t="s">
        <v>135</v>
      </c>
      <c r="P221" s="66">
        <v>2023</v>
      </c>
      <c r="Q221" s="66"/>
      <c r="R221" s="66"/>
      <c r="S221" s="66"/>
      <c r="T221" s="70">
        <v>0.96</v>
      </c>
      <c r="U221" s="66" t="s">
        <v>30</v>
      </c>
    </row>
    <row r="222" spans="1:21" ht="20.45" customHeight="1">
      <c r="A222" s="66">
        <v>58</v>
      </c>
      <c r="B222" s="71" t="s">
        <v>552</v>
      </c>
      <c r="C222" s="66" t="s">
        <v>22</v>
      </c>
      <c r="D222" s="66" t="s">
        <v>23</v>
      </c>
      <c r="E222" s="81">
        <v>2025003050056</v>
      </c>
      <c r="F222" s="71" t="s">
        <v>559</v>
      </c>
      <c r="G222" s="66" t="s">
        <v>560</v>
      </c>
      <c r="H222" s="66" t="s">
        <v>561</v>
      </c>
      <c r="I222" s="66"/>
      <c r="J222" s="66"/>
      <c r="K222" s="69">
        <v>4431297626</v>
      </c>
      <c r="L222" s="69">
        <v>0</v>
      </c>
      <c r="M222" s="2">
        <f>+K222</f>
        <v>4431297626</v>
      </c>
      <c r="N222" s="2" t="s">
        <v>37</v>
      </c>
      <c r="O222" s="71" t="s">
        <v>45</v>
      </c>
      <c r="P222" s="66">
        <v>2025</v>
      </c>
      <c r="Q222" s="66" t="s">
        <v>30</v>
      </c>
      <c r="R222" s="66"/>
      <c r="S222" s="66"/>
      <c r="T222" s="70">
        <v>7.0000000000000007E-2</v>
      </c>
      <c r="U222" s="71" t="s">
        <v>361</v>
      </c>
    </row>
    <row r="223" spans="1:21" ht="34.15" customHeight="1">
      <c r="A223" s="93">
        <v>59</v>
      </c>
      <c r="B223" s="71" t="s">
        <v>562</v>
      </c>
      <c r="C223" s="66" t="s">
        <v>41</v>
      </c>
      <c r="D223" s="66" t="s">
        <v>23</v>
      </c>
      <c r="E223" s="81"/>
      <c r="F223" s="71" t="s">
        <v>101</v>
      </c>
      <c r="G223" s="71" t="s">
        <v>563</v>
      </c>
      <c r="H223" s="71" t="s">
        <v>564</v>
      </c>
      <c r="I223" s="71"/>
      <c r="J223" s="71"/>
      <c r="K223" s="79">
        <f>1346222109*28.76</f>
        <v>38717347854.840004</v>
      </c>
      <c r="L223" s="79">
        <v>0</v>
      </c>
      <c r="M223" s="2">
        <f>+K223</f>
        <v>38717347854.840004</v>
      </c>
      <c r="N223" s="71" t="s">
        <v>28</v>
      </c>
      <c r="O223" s="71" t="s">
        <v>96</v>
      </c>
      <c r="P223" s="66">
        <v>2025</v>
      </c>
      <c r="Q223" s="66" t="s">
        <v>30</v>
      </c>
      <c r="R223" s="85"/>
      <c r="S223" s="87"/>
      <c r="T223" s="80"/>
      <c r="U223" s="66" t="s">
        <v>154</v>
      </c>
    </row>
    <row r="224" spans="1:21" ht="34.15" hidden="1" customHeight="1">
      <c r="A224" s="93"/>
      <c r="B224" s="71" t="s">
        <v>562</v>
      </c>
      <c r="C224" s="66" t="s">
        <v>41</v>
      </c>
      <c r="D224" s="66" t="s">
        <v>174</v>
      </c>
      <c r="E224" s="81" t="s">
        <v>62</v>
      </c>
      <c r="F224" s="71" t="s">
        <v>565</v>
      </c>
      <c r="G224" s="71" t="s">
        <v>566</v>
      </c>
      <c r="H224" s="71" t="s">
        <v>566</v>
      </c>
      <c r="I224" s="71"/>
      <c r="J224" s="71"/>
      <c r="K224" s="79">
        <v>6759815490</v>
      </c>
      <c r="L224" s="79">
        <v>0</v>
      </c>
      <c r="M224" s="2">
        <f>+K224</f>
        <v>6759815490</v>
      </c>
      <c r="N224" s="71" t="s">
        <v>37</v>
      </c>
      <c r="O224" s="71" t="s">
        <v>45</v>
      </c>
      <c r="P224" s="66">
        <v>2026</v>
      </c>
      <c r="Q224" s="66" t="s">
        <v>567</v>
      </c>
      <c r="R224" s="66"/>
      <c r="S224" s="66"/>
      <c r="T224" s="80">
        <v>0</v>
      </c>
      <c r="U224" s="66" t="s">
        <v>370</v>
      </c>
    </row>
    <row r="225" spans="1:21" ht="81.599999999999994" customHeight="1">
      <c r="A225" s="93"/>
      <c r="B225" s="71" t="s">
        <v>562</v>
      </c>
      <c r="C225" s="66" t="s">
        <v>41</v>
      </c>
      <c r="D225" s="66" t="s">
        <v>42</v>
      </c>
      <c r="E225" s="81"/>
      <c r="F225" s="71" t="s">
        <v>568</v>
      </c>
      <c r="G225" s="66" t="s">
        <v>500</v>
      </c>
      <c r="H225" s="66">
        <v>0.25</v>
      </c>
      <c r="I225" s="66"/>
      <c r="J225" s="66"/>
      <c r="K225" s="69">
        <v>496038085.25</v>
      </c>
      <c r="L225" s="69">
        <v>0</v>
      </c>
      <c r="M225" s="2">
        <v>496038085.25</v>
      </c>
      <c r="N225" s="71" t="s">
        <v>28</v>
      </c>
      <c r="O225" s="71" t="s">
        <v>51</v>
      </c>
      <c r="P225" s="66">
        <v>2025</v>
      </c>
      <c r="Q225" s="66" t="s">
        <v>99</v>
      </c>
      <c r="R225" s="66"/>
      <c r="S225" s="66"/>
      <c r="T225" s="70" t="s">
        <v>569</v>
      </c>
      <c r="U225" s="71"/>
    </row>
    <row r="226" spans="1:21" ht="13.9">
      <c r="A226" s="93"/>
      <c r="B226" s="71" t="s">
        <v>562</v>
      </c>
      <c r="C226" s="66" t="s">
        <v>41</v>
      </c>
      <c r="D226" s="66" t="s">
        <v>42</v>
      </c>
      <c r="E226" s="81" t="s">
        <v>570</v>
      </c>
      <c r="F226" s="71" t="s">
        <v>571</v>
      </c>
      <c r="G226" s="66" t="s">
        <v>204</v>
      </c>
      <c r="H226" s="66">
        <v>0.1</v>
      </c>
      <c r="I226" s="66"/>
      <c r="J226" s="66"/>
      <c r="K226" s="9">
        <v>122305437</v>
      </c>
      <c r="L226" s="43">
        <v>7442745</v>
      </c>
      <c r="M226" s="43">
        <f>+K226+L226</f>
        <v>129748182</v>
      </c>
      <c r="N226" s="71" t="s">
        <v>28</v>
      </c>
      <c r="O226" s="71" t="s">
        <v>51</v>
      </c>
      <c r="P226" s="66">
        <v>2025</v>
      </c>
      <c r="Q226" s="66" t="s">
        <v>52</v>
      </c>
      <c r="R226" s="66"/>
      <c r="S226" s="66"/>
      <c r="T226" s="70">
        <v>1</v>
      </c>
      <c r="U226" s="66" t="s">
        <v>74</v>
      </c>
    </row>
    <row r="227" spans="1:21" ht="27.6">
      <c r="A227" s="93"/>
      <c r="B227" s="71" t="s">
        <v>562</v>
      </c>
      <c r="C227" s="66" t="s">
        <v>41</v>
      </c>
      <c r="D227" s="66" t="s">
        <v>42</v>
      </c>
      <c r="E227" s="81">
        <v>2025003050050</v>
      </c>
      <c r="F227" s="71" t="s">
        <v>572</v>
      </c>
      <c r="G227" s="66" t="s">
        <v>76</v>
      </c>
      <c r="H227" s="66">
        <v>1</v>
      </c>
      <c r="I227" s="66"/>
      <c r="J227" s="66"/>
      <c r="K227" s="9">
        <v>1879328482</v>
      </c>
      <c r="L227" s="43">
        <v>0</v>
      </c>
      <c r="M227" s="43">
        <f>+K227</f>
        <v>1879328482</v>
      </c>
      <c r="N227" s="71" t="s">
        <v>37</v>
      </c>
      <c r="O227" s="71" t="s">
        <v>135</v>
      </c>
      <c r="P227" s="66">
        <v>2026</v>
      </c>
      <c r="Q227" s="66" t="s">
        <v>30</v>
      </c>
      <c r="R227" s="66"/>
      <c r="S227" s="66"/>
      <c r="T227" s="70"/>
      <c r="U227" s="66"/>
    </row>
    <row r="228" spans="1:21" ht="13.9">
      <c r="A228" s="93"/>
      <c r="B228" s="71" t="s">
        <v>562</v>
      </c>
      <c r="C228" s="66" t="s">
        <v>41</v>
      </c>
      <c r="D228" s="66" t="s">
        <v>42</v>
      </c>
      <c r="E228" s="81" t="s">
        <v>573</v>
      </c>
      <c r="F228" s="71" t="s">
        <v>80</v>
      </c>
      <c r="G228" s="66" t="s">
        <v>76</v>
      </c>
      <c r="H228" s="66">
        <v>1</v>
      </c>
      <c r="I228" s="66"/>
      <c r="J228" s="66"/>
      <c r="K228" s="2">
        <v>350000000</v>
      </c>
      <c r="L228" s="69">
        <v>363790500</v>
      </c>
      <c r="M228" s="69">
        <f>+K228+L228</f>
        <v>713790500</v>
      </c>
      <c r="N228" s="71" t="s">
        <v>73</v>
      </c>
      <c r="O228" s="71" t="s">
        <v>51</v>
      </c>
      <c r="P228" s="66">
        <v>2024</v>
      </c>
      <c r="Q228" s="66" t="s">
        <v>115</v>
      </c>
      <c r="R228" s="66"/>
      <c r="S228" s="66"/>
      <c r="T228" s="70">
        <v>1</v>
      </c>
      <c r="U228" s="66" t="s">
        <v>74</v>
      </c>
    </row>
    <row r="229" spans="1:21" ht="20.45" hidden="1" customHeight="1">
      <c r="A229" s="66"/>
      <c r="B229" s="71" t="s">
        <v>574</v>
      </c>
      <c r="C229" s="66" t="s">
        <v>83</v>
      </c>
      <c r="D229" s="66" t="s">
        <v>42</v>
      </c>
      <c r="E229" s="81">
        <v>2021003050023</v>
      </c>
      <c r="F229" s="71" t="s">
        <v>241</v>
      </c>
      <c r="G229" s="71" t="s">
        <v>242</v>
      </c>
      <c r="H229" s="71">
        <v>5.0999999999999996</v>
      </c>
      <c r="I229" s="71"/>
      <c r="J229" s="71"/>
      <c r="K229" s="79">
        <v>9871259287.2099991</v>
      </c>
      <c r="L229" s="79">
        <v>0</v>
      </c>
      <c r="M229" s="69">
        <f>+K229</f>
        <v>9871259287.2099991</v>
      </c>
      <c r="N229" s="79" t="s">
        <v>37</v>
      </c>
      <c r="O229" s="71" t="s">
        <v>45</v>
      </c>
      <c r="P229" s="66">
        <v>2021</v>
      </c>
      <c r="Q229" s="66" t="s">
        <v>30</v>
      </c>
      <c r="R229" s="66"/>
      <c r="S229" s="66"/>
      <c r="T229" s="70">
        <v>0.97</v>
      </c>
      <c r="U229" s="66"/>
    </row>
    <row r="230" spans="1:21" ht="20.45" customHeight="1">
      <c r="A230" s="66"/>
      <c r="B230" s="71" t="s">
        <v>574</v>
      </c>
      <c r="C230" s="66" t="s">
        <v>83</v>
      </c>
      <c r="D230" s="66" t="s">
        <v>42</v>
      </c>
      <c r="E230" s="81" t="s">
        <v>575</v>
      </c>
      <c r="F230" s="71" t="s">
        <v>576</v>
      </c>
      <c r="G230" s="71" t="s">
        <v>399</v>
      </c>
      <c r="H230" s="71">
        <v>0.5</v>
      </c>
      <c r="I230" s="71"/>
      <c r="J230" s="71"/>
      <c r="K230" s="79">
        <v>175000000</v>
      </c>
      <c r="L230" s="79">
        <v>174593000</v>
      </c>
      <c r="M230" s="69">
        <f>+K230+L230</f>
        <v>349593000</v>
      </c>
      <c r="N230" s="79" t="s">
        <v>73</v>
      </c>
      <c r="O230" s="71" t="s">
        <v>51</v>
      </c>
      <c r="P230" s="66">
        <v>2025</v>
      </c>
      <c r="Q230" s="66" t="s">
        <v>115</v>
      </c>
      <c r="R230" s="66"/>
      <c r="S230" s="66"/>
      <c r="T230" s="70">
        <v>1</v>
      </c>
      <c r="U230" s="66"/>
    </row>
    <row r="231" spans="1:21" ht="20.45" customHeight="1">
      <c r="A231" s="66"/>
      <c r="B231" s="71" t="s">
        <v>574</v>
      </c>
      <c r="C231" s="66" t="s">
        <v>83</v>
      </c>
      <c r="D231" s="66" t="s">
        <v>42</v>
      </c>
      <c r="E231" s="81">
        <v>2025003050043</v>
      </c>
      <c r="F231" s="71" t="s">
        <v>577</v>
      </c>
      <c r="G231" s="71" t="s">
        <v>396</v>
      </c>
      <c r="H231" s="71">
        <v>1.5</v>
      </c>
      <c r="I231" s="71"/>
      <c r="J231" s="71"/>
      <c r="K231" s="79">
        <v>1500000000</v>
      </c>
      <c r="L231" s="79">
        <v>638705796</v>
      </c>
      <c r="M231" s="69">
        <f>+K231+L231</f>
        <v>2138705796</v>
      </c>
      <c r="N231" s="79" t="s">
        <v>37</v>
      </c>
      <c r="O231" s="71" t="s">
        <v>135</v>
      </c>
      <c r="P231" s="66">
        <v>2026</v>
      </c>
      <c r="Q231" s="66" t="s">
        <v>30</v>
      </c>
      <c r="R231" s="66"/>
      <c r="S231" s="66"/>
      <c r="T231" s="70">
        <v>0.1</v>
      </c>
      <c r="U231" s="66"/>
    </row>
    <row r="232" spans="1:21" ht="40.9" customHeight="1">
      <c r="A232" s="66">
        <v>60</v>
      </c>
      <c r="B232" s="71" t="s">
        <v>574</v>
      </c>
      <c r="C232" s="66" t="s">
        <v>83</v>
      </c>
      <c r="D232" s="66" t="s">
        <v>42</v>
      </c>
      <c r="E232" s="81" t="s">
        <v>146</v>
      </c>
      <c r="F232" s="71" t="s">
        <v>80</v>
      </c>
      <c r="G232" s="66" t="s">
        <v>76</v>
      </c>
      <c r="H232" s="66">
        <v>1</v>
      </c>
      <c r="I232" s="66"/>
      <c r="J232" s="66"/>
      <c r="K232" s="69">
        <v>263486480</v>
      </c>
      <c r="L232" s="2">
        <v>373645534</v>
      </c>
      <c r="M232" s="2">
        <v>862122014</v>
      </c>
      <c r="N232" s="71" t="s">
        <v>147</v>
      </c>
      <c r="O232" s="71" t="s">
        <v>51</v>
      </c>
      <c r="P232" s="66">
        <v>2024</v>
      </c>
      <c r="Q232" s="66" t="s">
        <v>38</v>
      </c>
      <c r="R232" s="66"/>
      <c r="S232" s="66"/>
      <c r="T232" s="70">
        <v>1</v>
      </c>
      <c r="U232" s="66"/>
    </row>
    <row r="233" spans="1:21" ht="13.9" hidden="1">
      <c r="A233" s="66">
        <v>61</v>
      </c>
      <c r="B233" s="71" t="s">
        <v>578</v>
      </c>
      <c r="C233" s="66" t="s">
        <v>224</v>
      </c>
      <c r="D233" s="66"/>
      <c r="E233" s="81"/>
      <c r="F233" s="71"/>
      <c r="G233" s="66"/>
      <c r="H233" s="66"/>
      <c r="I233" s="66"/>
      <c r="J233" s="66"/>
      <c r="K233" s="69"/>
      <c r="L233" s="69"/>
      <c r="M233" s="69"/>
      <c r="N233" s="71"/>
      <c r="O233" s="71"/>
      <c r="P233" s="66"/>
      <c r="Q233" s="66"/>
      <c r="R233" s="66"/>
      <c r="S233" s="66"/>
      <c r="T233" s="66"/>
      <c r="U233" s="66"/>
    </row>
    <row r="234" spans="1:21" ht="224.45" customHeight="1">
      <c r="A234" s="66">
        <v>62</v>
      </c>
      <c r="B234" s="71" t="s">
        <v>579</v>
      </c>
      <c r="C234" s="66" t="s">
        <v>149</v>
      </c>
      <c r="D234" s="66" t="s">
        <v>174</v>
      </c>
      <c r="E234" s="81" t="s">
        <v>352</v>
      </c>
      <c r="F234" s="71" t="s">
        <v>580</v>
      </c>
      <c r="G234" s="71" t="s">
        <v>581</v>
      </c>
      <c r="H234" s="71" t="s">
        <v>581</v>
      </c>
      <c r="I234" s="71"/>
      <c r="J234" s="71"/>
      <c r="K234" s="69">
        <v>14638912836</v>
      </c>
      <c r="L234" s="79">
        <v>0</v>
      </c>
      <c r="M234" s="69">
        <f>+K234</f>
        <v>14638912836</v>
      </c>
      <c r="N234" s="79" t="s">
        <v>37</v>
      </c>
      <c r="O234" s="71" t="s">
        <v>96</v>
      </c>
      <c r="P234" s="66">
        <v>2025</v>
      </c>
      <c r="Q234" s="66" t="s">
        <v>99</v>
      </c>
      <c r="R234" s="66"/>
      <c r="S234" s="66"/>
      <c r="T234" s="71"/>
      <c r="U234" s="71" t="s">
        <v>582</v>
      </c>
    </row>
    <row r="235" spans="1:21" ht="102" customHeight="1">
      <c r="A235" s="99">
        <v>63</v>
      </c>
      <c r="B235" s="71" t="s">
        <v>583</v>
      </c>
      <c r="C235" s="66" t="s">
        <v>83</v>
      </c>
      <c r="D235" s="66" t="s">
        <v>23</v>
      </c>
      <c r="E235" s="81" t="s">
        <v>584</v>
      </c>
      <c r="F235" s="71" t="s">
        <v>585</v>
      </c>
      <c r="G235" s="71" t="s">
        <v>586</v>
      </c>
      <c r="H235" s="71">
        <v>5.8</v>
      </c>
      <c r="I235" s="71"/>
      <c r="J235" s="71"/>
      <c r="K235" s="79">
        <f>+M235</f>
        <v>20950000000</v>
      </c>
      <c r="L235" s="79">
        <v>0</v>
      </c>
      <c r="M235" s="69">
        <v>20950000000</v>
      </c>
      <c r="N235" s="71" t="s">
        <v>496</v>
      </c>
      <c r="O235" s="71" t="s">
        <v>96</v>
      </c>
      <c r="P235" s="66">
        <v>2025</v>
      </c>
      <c r="Q235" s="66"/>
      <c r="R235" s="66"/>
      <c r="S235" s="66"/>
      <c r="T235" s="66"/>
      <c r="U235" s="71" t="s">
        <v>587</v>
      </c>
    </row>
    <row r="236" spans="1:21" ht="102" customHeight="1">
      <c r="A236" s="104"/>
      <c r="B236" s="71" t="s">
        <v>583</v>
      </c>
      <c r="C236" s="66" t="s">
        <v>83</v>
      </c>
      <c r="D236" s="66" t="s">
        <v>174</v>
      </c>
      <c r="E236" s="81" t="s">
        <v>62</v>
      </c>
      <c r="F236" s="71" t="s">
        <v>588</v>
      </c>
      <c r="G236" s="71" t="s">
        <v>589</v>
      </c>
      <c r="H236" s="71" t="s">
        <v>589</v>
      </c>
      <c r="I236" s="71"/>
      <c r="J236" s="71"/>
      <c r="K236" s="79">
        <v>1786585365</v>
      </c>
      <c r="L236" s="79">
        <v>0</v>
      </c>
      <c r="M236" s="69">
        <f>+K236</f>
        <v>1786585365</v>
      </c>
      <c r="N236" s="71" t="s">
        <v>37</v>
      </c>
      <c r="O236" s="71" t="s">
        <v>29</v>
      </c>
      <c r="P236" s="66">
        <v>2026</v>
      </c>
      <c r="Q236" s="66" t="s">
        <v>129</v>
      </c>
      <c r="R236" s="66"/>
      <c r="S236" s="66"/>
      <c r="T236" s="66"/>
      <c r="U236" s="71" t="s">
        <v>590</v>
      </c>
    </row>
    <row r="237" spans="1:21" ht="102" customHeight="1">
      <c r="A237" s="104"/>
      <c r="B237" s="71" t="s">
        <v>583</v>
      </c>
      <c r="C237" s="66" t="s">
        <v>83</v>
      </c>
      <c r="D237" s="66" t="s">
        <v>174</v>
      </c>
      <c r="E237" s="81" t="s">
        <v>62</v>
      </c>
      <c r="F237" s="71" t="s">
        <v>591</v>
      </c>
      <c r="G237" s="71" t="s">
        <v>592</v>
      </c>
      <c r="H237" s="71" t="s">
        <v>592</v>
      </c>
      <c r="I237" s="71"/>
      <c r="J237" s="71"/>
      <c r="K237" s="79">
        <v>1600000000</v>
      </c>
      <c r="L237" s="79">
        <v>0</v>
      </c>
      <c r="M237" s="69">
        <f>+K237</f>
        <v>1600000000</v>
      </c>
      <c r="N237" s="71" t="s">
        <v>37</v>
      </c>
      <c r="O237" s="71" t="s">
        <v>29</v>
      </c>
      <c r="P237" s="66">
        <v>2026</v>
      </c>
      <c r="Q237" s="66" t="s">
        <v>129</v>
      </c>
      <c r="R237" s="66"/>
      <c r="S237" s="66"/>
      <c r="T237" s="66"/>
      <c r="U237" s="71" t="s">
        <v>593</v>
      </c>
    </row>
    <row r="238" spans="1:21" ht="39.6" hidden="1" customHeight="1">
      <c r="A238" s="104"/>
      <c r="B238" s="71" t="s">
        <v>583</v>
      </c>
      <c r="C238" s="66" t="s">
        <v>83</v>
      </c>
      <c r="D238" s="66" t="s">
        <v>34</v>
      </c>
      <c r="E238" s="55">
        <v>2022053640012</v>
      </c>
      <c r="F238" s="71" t="s">
        <v>594</v>
      </c>
      <c r="G238" s="71" t="s">
        <v>595</v>
      </c>
      <c r="H238" s="71">
        <v>1.26</v>
      </c>
      <c r="I238" s="71"/>
      <c r="J238" s="71"/>
      <c r="K238" s="79">
        <v>1500000000</v>
      </c>
      <c r="L238" s="79">
        <v>2141564336</v>
      </c>
      <c r="M238" s="69">
        <v>3641564336</v>
      </c>
      <c r="N238" s="71" t="s">
        <v>37</v>
      </c>
      <c r="O238" s="71" t="s">
        <v>596</v>
      </c>
      <c r="P238" s="66">
        <v>2022</v>
      </c>
      <c r="Q238" s="66" t="s">
        <v>38</v>
      </c>
      <c r="R238" s="66"/>
      <c r="S238" s="66"/>
      <c r="T238" s="40">
        <v>1</v>
      </c>
      <c r="U238" s="71" t="s">
        <v>30</v>
      </c>
    </row>
    <row r="239" spans="1:21" ht="40.9" customHeight="1">
      <c r="A239" s="104"/>
      <c r="B239" s="71" t="s">
        <v>583</v>
      </c>
      <c r="C239" s="66" t="s">
        <v>83</v>
      </c>
      <c r="D239" s="66" t="s">
        <v>42</v>
      </c>
      <c r="E239" s="81" t="s">
        <v>146</v>
      </c>
      <c r="F239" s="71" t="s">
        <v>80</v>
      </c>
      <c r="G239" s="66" t="s">
        <v>76</v>
      </c>
      <c r="H239" s="66">
        <v>1</v>
      </c>
      <c r="I239" s="66"/>
      <c r="J239" s="66"/>
      <c r="K239" s="2">
        <v>276812372</v>
      </c>
      <c r="L239" s="2">
        <v>428828389</v>
      </c>
      <c r="M239" s="2">
        <v>920540761</v>
      </c>
      <c r="N239" s="71" t="s">
        <v>147</v>
      </c>
      <c r="O239" s="71" t="s">
        <v>51</v>
      </c>
      <c r="P239" s="66">
        <v>2024</v>
      </c>
      <c r="Q239" s="66" t="s">
        <v>513</v>
      </c>
      <c r="R239" s="66"/>
      <c r="S239" s="66"/>
      <c r="T239" s="80">
        <v>1</v>
      </c>
      <c r="U239" s="71" t="s">
        <v>74</v>
      </c>
    </row>
    <row r="240" spans="1:21" ht="40.9" customHeight="1">
      <c r="A240" s="100"/>
      <c r="B240" s="71" t="s">
        <v>597</v>
      </c>
      <c r="C240" s="66" t="s">
        <v>83</v>
      </c>
      <c r="D240" s="66" t="s">
        <v>48</v>
      </c>
      <c r="E240" s="81"/>
      <c r="F240" s="71" t="s">
        <v>598</v>
      </c>
      <c r="G240" s="71" t="s">
        <v>599</v>
      </c>
      <c r="H240" s="71" t="s">
        <v>599</v>
      </c>
      <c r="I240" s="71"/>
      <c r="J240" s="71"/>
      <c r="K240" s="2">
        <v>2120935022</v>
      </c>
      <c r="L240" s="2">
        <v>0</v>
      </c>
      <c r="M240" s="2">
        <f>+K240</f>
        <v>2120935022</v>
      </c>
      <c r="N240" s="71" t="s">
        <v>28</v>
      </c>
      <c r="O240" s="71" t="s">
        <v>114</v>
      </c>
      <c r="P240" s="66">
        <v>2025</v>
      </c>
      <c r="Q240" s="66"/>
      <c r="R240" s="66"/>
      <c r="S240" s="66"/>
      <c r="T240" s="80">
        <v>0</v>
      </c>
      <c r="U240" s="71" t="s">
        <v>30</v>
      </c>
    </row>
    <row r="241" spans="1:21" ht="40.9" customHeight="1">
      <c r="A241" s="93">
        <v>64</v>
      </c>
      <c r="B241" s="71" t="s">
        <v>600</v>
      </c>
      <c r="C241" s="66" t="s">
        <v>83</v>
      </c>
      <c r="D241" s="66" t="s">
        <v>42</v>
      </c>
      <c r="E241" s="81">
        <v>4600018194</v>
      </c>
      <c r="F241" s="71" t="s">
        <v>601</v>
      </c>
      <c r="G241" s="66" t="s">
        <v>602</v>
      </c>
      <c r="H241" s="66">
        <v>0.13200000000000001</v>
      </c>
      <c r="I241" s="66"/>
      <c r="J241" s="66"/>
      <c r="K241" s="69">
        <v>214750280</v>
      </c>
      <c r="L241" s="69">
        <v>209509678</v>
      </c>
      <c r="M241" s="2">
        <v>412084155</v>
      </c>
      <c r="N241" s="71" t="s">
        <v>28</v>
      </c>
      <c r="O241" s="71" t="s">
        <v>51</v>
      </c>
      <c r="P241" s="66">
        <v>2025</v>
      </c>
      <c r="Q241" s="66" t="s">
        <v>30</v>
      </c>
      <c r="R241" s="66"/>
      <c r="S241" s="66"/>
      <c r="T241" s="80">
        <v>0.9</v>
      </c>
      <c r="U241" s="71"/>
    </row>
    <row r="242" spans="1:21" ht="40.9" hidden="1" customHeight="1">
      <c r="A242" s="93"/>
      <c r="B242" s="71" t="s">
        <v>600</v>
      </c>
      <c r="C242" s="66" t="s">
        <v>83</v>
      </c>
      <c r="D242" s="66" t="s">
        <v>42</v>
      </c>
      <c r="E242" s="81">
        <v>2022053680001</v>
      </c>
      <c r="F242" s="71" t="s">
        <v>603</v>
      </c>
      <c r="G242" s="66" t="s">
        <v>604</v>
      </c>
      <c r="H242" s="66">
        <v>1.65</v>
      </c>
      <c r="I242" s="66"/>
      <c r="J242" s="66"/>
      <c r="K242" s="69">
        <v>1484467946</v>
      </c>
      <c r="L242" s="69">
        <v>494822648</v>
      </c>
      <c r="M242" s="2">
        <f>+K242+L242</f>
        <v>1979290594</v>
      </c>
      <c r="N242" s="71" t="s">
        <v>37</v>
      </c>
      <c r="O242" s="71" t="s">
        <v>596</v>
      </c>
      <c r="P242" s="66">
        <v>2022</v>
      </c>
      <c r="Q242" s="66"/>
      <c r="R242" s="66"/>
      <c r="S242" s="66"/>
      <c r="T242" s="80">
        <v>0.90500000000000003</v>
      </c>
      <c r="U242" s="71" t="s">
        <v>343</v>
      </c>
    </row>
    <row r="243" spans="1:21" ht="40.9" customHeight="1">
      <c r="A243" s="93"/>
      <c r="B243" s="71" t="s">
        <v>600</v>
      </c>
      <c r="C243" s="66" t="s">
        <v>83</v>
      </c>
      <c r="D243" s="66" t="s">
        <v>131</v>
      </c>
      <c r="E243" s="81">
        <v>4600017793</v>
      </c>
      <c r="F243" s="71" t="s">
        <v>453</v>
      </c>
      <c r="G243" s="71" t="s">
        <v>138</v>
      </c>
      <c r="H243" s="66">
        <v>13.79</v>
      </c>
      <c r="I243" s="71" t="s">
        <v>26</v>
      </c>
      <c r="J243" s="71" t="s">
        <v>134</v>
      </c>
      <c r="K243" s="2">
        <v>17166424376</v>
      </c>
      <c r="L243" s="69">
        <v>0</v>
      </c>
      <c r="M243" s="42">
        <f>+K243</f>
        <v>17166424376</v>
      </c>
      <c r="N243" s="71" t="s">
        <v>28</v>
      </c>
      <c r="O243" s="71" t="s">
        <v>78</v>
      </c>
      <c r="P243" s="66">
        <v>2024</v>
      </c>
      <c r="Q243" s="66" t="s">
        <v>30</v>
      </c>
      <c r="R243" s="66"/>
      <c r="S243" s="66"/>
      <c r="T243" s="70">
        <v>0.87</v>
      </c>
      <c r="U243" s="71" t="s">
        <v>136</v>
      </c>
    </row>
    <row r="244" spans="1:21" ht="41.45">
      <c r="A244" s="93"/>
      <c r="B244" s="71" t="s">
        <v>600</v>
      </c>
      <c r="C244" s="66" t="s">
        <v>83</v>
      </c>
      <c r="D244" s="66" t="s">
        <v>48</v>
      </c>
      <c r="E244" s="81"/>
      <c r="F244" s="71" t="s">
        <v>598</v>
      </c>
      <c r="G244" s="71" t="s">
        <v>605</v>
      </c>
      <c r="H244" s="71" t="s">
        <v>605</v>
      </c>
      <c r="I244" s="71"/>
      <c r="J244" s="71"/>
      <c r="K244" s="2">
        <v>2244253680</v>
      </c>
      <c r="L244" s="2">
        <v>0</v>
      </c>
      <c r="M244" s="2">
        <f>+K244</f>
        <v>2244253680</v>
      </c>
      <c r="N244" s="71" t="s">
        <v>28</v>
      </c>
      <c r="O244" s="71" t="s">
        <v>114</v>
      </c>
      <c r="P244" s="66">
        <v>2025</v>
      </c>
      <c r="Q244" s="66"/>
      <c r="R244" s="66"/>
      <c r="S244" s="66"/>
      <c r="T244" s="80">
        <v>0</v>
      </c>
      <c r="U244" s="71" t="s">
        <v>30</v>
      </c>
    </row>
    <row r="245" spans="1:21" ht="13.9" hidden="1">
      <c r="A245" s="93"/>
      <c r="B245" s="71" t="s">
        <v>600</v>
      </c>
      <c r="C245" s="66" t="s">
        <v>83</v>
      </c>
      <c r="D245" s="66" t="s">
        <v>66</v>
      </c>
      <c r="E245" s="81"/>
      <c r="F245" s="71" t="s">
        <v>606</v>
      </c>
      <c r="G245" s="71">
        <v>6.5000000000000002E-2</v>
      </c>
      <c r="H245" s="71">
        <v>6.5000000000000002E-2</v>
      </c>
      <c r="I245" s="71"/>
      <c r="J245" s="71"/>
      <c r="K245" s="2"/>
      <c r="L245" s="2"/>
      <c r="M245" s="2"/>
      <c r="N245" s="71"/>
      <c r="O245" s="71"/>
      <c r="P245" s="66"/>
      <c r="Q245" s="66"/>
      <c r="R245" s="66"/>
      <c r="S245" s="66"/>
      <c r="T245" s="80"/>
      <c r="U245" s="71"/>
    </row>
    <row r="246" spans="1:21" ht="13.9">
      <c r="A246" s="93"/>
      <c r="B246" s="71" t="s">
        <v>600</v>
      </c>
      <c r="C246" s="66" t="s">
        <v>83</v>
      </c>
      <c r="D246" s="66" t="s">
        <v>23</v>
      </c>
      <c r="E246" s="81">
        <v>4600017741</v>
      </c>
      <c r="F246" s="71" t="s">
        <v>208</v>
      </c>
      <c r="G246" s="71" t="s">
        <v>607</v>
      </c>
      <c r="H246" s="71">
        <v>67.099999999999994</v>
      </c>
      <c r="I246" s="71"/>
      <c r="J246" s="71"/>
      <c r="K246" s="2">
        <v>89229491</v>
      </c>
      <c r="L246" s="2">
        <v>0</v>
      </c>
      <c r="M246" s="2">
        <f>+K246</f>
        <v>89229491</v>
      </c>
      <c r="N246" s="71" t="s">
        <v>330</v>
      </c>
      <c r="O246" s="71" t="s">
        <v>51</v>
      </c>
      <c r="P246" s="66">
        <v>2024</v>
      </c>
      <c r="Q246" s="66"/>
      <c r="R246" s="66"/>
      <c r="S246" s="66"/>
      <c r="T246" s="80"/>
      <c r="U246" s="71" t="s">
        <v>81</v>
      </c>
    </row>
    <row r="247" spans="1:21" ht="40.9" customHeight="1">
      <c r="A247" s="93"/>
      <c r="B247" s="71" t="s">
        <v>600</v>
      </c>
      <c r="C247" s="66" t="s">
        <v>83</v>
      </c>
      <c r="D247" s="66" t="s">
        <v>42</v>
      </c>
      <c r="E247" s="81" t="s">
        <v>146</v>
      </c>
      <c r="F247" s="71" t="s">
        <v>80</v>
      </c>
      <c r="G247" s="66" t="s">
        <v>76</v>
      </c>
      <c r="H247" s="66">
        <v>1</v>
      </c>
      <c r="I247" s="66"/>
      <c r="J247" s="66"/>
      <c r="K247" s="69">
        <v>260173776</v>
      </c>
      <c r="L247" s="69">
        <v>340064268</v>
      </c>
      <c r="M247" s="2">
        <v>785238044</v>
      </c>
      <c r="N247" s="71" t="s">
        <v>147</v>
      </c>
      <c r="O247" s="71" t="s">
        <v>51</v>
      </c>
      <c r="P247" s="66">
        <v>2024</v>
      </c>
      <c r="Q247" s="66" t="s">
        <v>115</v>
      </c>
      <c r="R247" s="66"/>
      <c r="S247" s="66"/>
      <c r="T247" s="80">
        <v>1</v>
      </c>
      <c r="U247" s="71" t="s">
        <v>74</v>
      </c>
    </row>
    <row r="248" spans="1:21" ht="40.9" customHeight="1">
      <c r="A248" s="66"/>
      <c r="B248" s="71" t="s">
        <v>608</v>
      </c>
      <c r="C248" s="66" t="s">
        <v>22</v>
      </c>
      <c r="D248" s="66" t="s">
        <v>488</v>
      </c>
      <c r="E248" s="81" t="s">
        <v>609</v>
      </c>
      <c r="F248" s="71" t="s">
        <v>610</v>
      </c>
      <c r="G248" s="71" t="s">
        <v>611</v>
      </c>
      <c r="H248" s="71">
        <v>48.6</v>
      </c>
      <c r="I248" s="71"/>
      <c r="J248" s="71"/>
      <c r="K248" s="69">
        <v>15494317903</v>
      </c>
      <c r="L248" s="69">
        <v>0</v>
      </c>
      <c r="M248" s="2">
        <f>+K248</f>
        <v>15494317903</v>
      </c>
      <c r="N248" s="71" t="s">
        <v>28</v>
      </c>
      <c r="O248" s="71" t="s">
        <v>612</v>
      </c>
      <c r="P248" s="66">
        <v>2025</v>
      </c>
      <c r="Q248" s="66" t="s">
        <v>30</v>
      </c>
      <c r="R248" s="66"/>
      <c r="S248" s="66"/>
      <c r="T248" s="80">
        <v>0.71689999999999998</v>
      </c>
      <c r="U248" s="71"/>
    </row>
    <row r="249" spans="1:21" ht="81.599999999999994" customHeight="1">
      <c r="A249" s="93">
        <v>65</v>
      </c>
      <c r="B249" s="71" t="s">
        <v>608</v>
      </c>
      <c r="C249" s="66" t="s">
        <v>22</v>
      </c>
      <c r="D249" s="66" t="s">
        <v>42</v>
      </c>
      <c r="E249" s="81" t="s">
        <v>613</v>
      </c>
      <c r="F249" s="71" t="s">
        <v>614</v>
      </c>
      <c r="G249" s="66" t="s">
        <v>500</v>
      </c>
      <c r="H249" s="66">
        <v>0.25</v>
      </c>
      <c r="I249" s="66"/>
      <c r="J249" s="66"/>
      <c r="K249" s="69">
        <f>1984152341/4</f>
        <v>496038085.25</v>
      </c>
      <c r="L249" s="69">
        <v>0</v>
      </c>
      <c r="M249" s="2">
        <f>+K249</f>
        <v>496038085.25</v>
      </c>
      <c r="N249" s="71" t="s">
        <v>28</v>
      </c>
      <c r="O249" s="71" t="s">
        <v>51</v>
      </c>
      <c r="P249" s="66">
        <v>2025</v>
      </c>
      <c r="Q249" s="66" t="s">
        <v>385</v>
      </c>
      <c r="R249" s="66"/>
      <c r="S249" s="66"/>
      <c r="T249" s="80"/>
      <c r="U249" s="71" t="s">
        <v>615</v>
      </c>
    </row>
    <row r="250" spans="1:21" ht="81.599999999999994" hidden="1" customHeight="1">
      <c r="A250" s="93"/>
      <c r="B250" s="71" t="s">
        <v>608</v>
      </c>
      <c r="C250" s="66" t="s">
        <v>22</v>
      </c>
      <c r="D250" s="66" t="s">
        <v>48</v>
      </c>
      <c r="E250" s="81">
        <v>4600015692</v>
      </c>
      <c r="F250" s="71" t="s">
        <v>229</v>
      </c>
      <c r="G250" s="66" t="s">
        <v>616</v>
      </c>
      <c r="H250" s="66" t="s">
        <v>616</v>
      </c>
      <c r="I250" s="66"/>
      <c r="J250" s="66"/>
      <c r="K250" s="69">
        <v>5000000000</v>
      </c>
      <c r="L250" s="69">
        <v>6430293394</v>
      </c>
      <c r="M250" s="2">
        <f>+L250+K250</f>
        <v>11430293394</v>
      </c>
      <c r="N250" s="71" t="s">
        <v>37</v>
      </c>
      <c r="O250" s="71" t="s">
        <v>45</v>
      </c>
      <c r="P250" s="66">
        <v>2020</v>
      </c>
      <c r="Q250" s="66" t="s">
        <v>38</v>
      </c>
      <c r="R250" s="66"/>
      <c r="S250" s="66"/>
      <c r="T250" s="80">
        <v>1</v>
      </c>
      <c r="U250" s="71" t="s">
        <v>69</v>
      </c>
    </row>
    <row r="251" spans="1:21" ht="40.9" customHeight="1">
      <c r="A251" s="93"/>
      <c r="B251" s="71" t="s">
        <v>608</v>
      </c>
      <c r="C251" s="66" t="s">
        <v>22</v>
      </c>
      <c r="D251" s="66" t="s">
        <v>42</v>
      </c>
      <c r="E251" s="81" t="s">
        <v>146</v>
      </c>
      <c r="F251" s="71" t="s">
        <v>80</v>
      </c>
      <c r="G251" s="66" t="s">
        <v>76</v>
      </c>
      <c r="H251" s="66">
        <v>1</v>
      </c>
      <c r="I251" s="66"/>
      <c r="J251" s="66"/>
      <c r="K251" s="2">
        <v>293660173</v>
      </c>
      <c r="L251" s="69">
        <v>605173717</v>
      </c>
      <c r="M251" s="69">
        <v>1087833890</v>
      </c>
      <c r="N251" s="71" t="s">
        <v>147</v>
      </c>
      <c r="O251" s="71" t="s">
        <v>51</v>
      </c>
      <c r="P251" s="66">
        <v>2024</v>
      </c>
      <c r="Q251" s="66" t="s">
        <v>38</v>
      </c>
      <c r="R251" s="66"/>
      <c r="S251" s="66"/>
      <c r="T251" s="70">
        <v>1</v>
      </c>
      <c r="U251" s="66" t="s">
        <v>74</v>
      </c>
    </row>
    <row r="252" spans="1:21" ht="13.9" hidden="1">
      <c r="A252" s="66">
        <v>66</v>
      </c>
      <c r="B252" s="71" t="s">
        <v>617</v>
      </c>
      <c r="C252" s="66" t="s">
        <v>224</v>
      </c>
      <c r="D252" s="66"/>
      <c r="E252" s="81"/>
      <c r="F252" s="71"/>
      <c r="G252" s="66"/>
      <c r="H252" s="66"/>
      <c r="I252" s="66"/>
      <c r="J252" s="66"/>
      <c r="K252" s="69"/>
      <c r="L252" s="69"/>
      <c r="M252" s="69"/>
      <c r="N252" s="71"/>
      <c r="O252" s="71"/>
      <c r="P252" s="66"/>
      <c r="Q252" s="66"/>
      <c r="R252" s="66"/>
      <c r="S252" s="66"/>
      <c r="T252" s="66"/>
      <c r="U252" s="66"/>
    </row>
    <row r="253" spans="1:21" ht="13.9">
      <c r="A253" s="66"/>
      <c r="B253" s="71" t="s">
        <v>618</v>
      </c>
      <c r="C253" s="66" t="s">
        <v>83</v>
      </c>
      <c r="D253" s="66" t="s">
        <v>48</v>
      </c>
      <c r="E253" s="81"/>
      <c r="F253" s="71" t="s">
        <v>619</v>
      </c>
      <c r="G253" s="66" t="s">
        <v>620</v>
      </c>
      <c r="H253" s="66" t="s">
        <v>620</v>
      </c>
      <c r="I253" s="66"/>
      <c r="J253" s="66"/>
      <c r="K253" s="69">
        <v>278000000</v>
      </c>
      <c r="L253" s="69">
        <v>0</v>
      </c>
      <c r="M253" s="69">
        <f>+K253</f>
        <v>278000000</v>
      </c>
      <c r="N253" s="71" t="s">
        <v>28</v>
      </c>
      <c r="O253" s="71"/>
      <c r="P253" s="66">
        <v>2025</v>
      </c>
      <c r="Q253" s="66"/>
      <c r="R253" s="66"/>
      <c r="S253" s="66"/>
      <c r="T253" s="70">
        <v>1</v>
      </c>
      <c r="U253" s="66" t="s">
        <v>38</v>
      </c>
    </row>
    <row r="254" spans="1:21" ht="13.9">
      <c r="A254" s="66">
        <v>67</v>
      </c>
      <c r="B254" s="71" t="s">
        <v>618</v>
      </c>
      <c r="C254" s="66" t="s">
        <v>83</v>
      </c>
      <c r="D254" s="66" t="s">
        <v>42</v>
      </c>
      <c r="E254" s="81">
        <v>4600017881</v>
      </c>
      <c r="F254" s="71" t="s">
        <v>400</v>
      </c>
      <c r="G254" s="66" t="s">
        <v>621</v>
      </c>
      <c r="H254" s="66">
        <v>0.37</v>
      </c>
      <c r="I254" s="66"/>
      <c r="J254" s="66"/>
      <c r="K254" s="69">
        <v>1296778254</v>
      </c>
      <c r="L254" s="3">
        <v>324194564</v>
      </c>
      <c r="M254" s="69">
        <f>+K254+L254</f>
        <v>1620972818</v>
      </c>
      <c r="N254" s="71" t="s">
        <v>28</v>
      </c>
      <c r="O254" s="71" t="s">
        <v>51</v>
      </c>
      <c r="P254" s="66">
        <v>2025</v>
      </c>
      <c r="Q254" s="66" t="s">
        <v>30</v>
      </c>
      <c r="R254" s="66"/>
      <c r="S254" s="66"/>
      <c r="T254" s="70">
        <v>0.3</v>
      </c>
      <c r="U254" s="66"/>
    </row>
    <row r="255" spans="1:21" ht="27.6">
      <c r="A255" s="99">
        <v>68</v>
      </c>
      <c r="B255" s="71" t="s">
        <v>622</v>
      </c>
      <c r="C255" s="66" t="s">
        <v>22</v>
      </c>
      <c r="D255" s="66" t="s">
        <v>42</v>
      </c>
      <c r="E255" s="81">
        <v>2026003050001</v>
      </c>
      <c r="F255" s="71" t="s">
        <v>623</v>
      </c>
      <c r="G255" s="66" t="s">
        <v>76</v>
      </c>
      <c r="H255" s="66">
        <v>1</v>
      </c>
      <c r="I255" s="66"/>
      <c r="J255" s="66"/>
      <c r="K255" s="69">
        <v>1500000000</v>
      </c>
      <c r="L255" s="3">
        <f>+M255-K255</f>
        <v>949291081</v>
      </c>
      <c r="M255" s="69">
        <v>2449291081</v>
      </c>
      <c r="N255" s="2" t="s">
        <v>37</v>
      </c>
      <c r="O255" s="71"/>
      <c r="P255" s="66">
        <v>2025</v>
      </c>
      <c r="Q255" s="66" t="s">
        <v>129</v>
      </c>
      <c r="R255" s="66"/>
      <c r="S255" s="66"/>
      <c r="T255" s="70"/>
      <c r="U255" s="71" t="s">
        <v>624</v>
      </c>
    </row>
    <row r="256" spans="1:21" ht="27.6">
      <c r="A256" s="104"/>
      <c r="B256" s="71" t="s">
        <v>622</v>
      </c>
      <c r="C256" s="66" t="s">
        <v>22</v>
      </c>
      <c r="D256" s="66" t="s">
        <v>23</v>
      </c>
      <c r="E256" s="81">
        <v>4600018900</v>
      </c>
      <c r="F256" s="71" t="s">
        <v>436</v>
      </c>
      <c r="G256" s="66" t="s">
        <v>625</v>
      </c>
      <c r="H256" s="66" t="s">
        <v>626</v>
      </c>
      <c r="I256" s="66"/>
      <c r="J256" s="66"/>
      <c r="K256" s="79">
        <f>'Estabilización datos '!G244*23.77</f>
        <v>0</v>
      </c>
      <c r="L256" s="3">
        <v>0</v>
      </c>
      <c r="M256" s="69">
        <f>+K256</f>
        <v>0</v>
      </c>
      <c r="N256" s="2" t="s">
        <v>37</v>
      </c>
      <c r="O256" s="66" t="s">
        <v>29</v>
      </c>
      <c r="P256" s="66">
        <v>2025</v>
      </c>
      <c r="Q256" s="66" t="s">
        <v>30</v>
      </c>
      <c r="R256" s="85"/>
      <c r="S256" s="87"/>
      <c r="T256" s="80"/>
      <c r="U256" s="76" t="s">
        <v>461</v>
      </c>
    </row>
    <row r="257" spans="1:21" ht="13.9">
      <c r="A257" s="104"/>
      <c r="B257" s="71" t="s">
        <v>622</v>
      </c>
      <c r="C257" s="66" t="s">
        <v>22</v>
      </c>
      <c r="D257" s="66" t="s">
        <v>42</v>
      </c>
      <c r="E257" s="81" t="s">
        <v>627</v>
      </c>
      <c r="F257" s="71" t="s">
        <v>628</v>
      </c>
      <c r="G257" s="46" t="s">
        <v>204</v>
      </c>
      <c r="H257" s="46">
        <v>0.1</v>
      </c>
      <c r="I257" s="46"/>
      <c r="J257" s="46"/>
      <c r="K257" s="43">
        <v>122220109</v>
      </c>
      <c r="L257" s="10">
        <v>13285932</v>
      </c>
      <c r="M257" s="43">
        <f>+L257+K257</f>
        <v>135506041</v>
      </c>
      <c r="N257" s="71" t="s">
        <v>28</v>
      </c>
      <c r="O257" s="71" t="s">
        <v>51</v>
      </c>
      <c r="P257" s="66">
        <v>2025</v>
      </c>
      <c r="Q257" s="66" t="s">
        <v>52</v>
      </c>
      <c r="R257" s="66"/>
      <c r="S257" s="66"/>
      <c r="T257" s="80">
        <v>1</v>
      </c>
      <c r="U257" s="71" t="s">
        <v>74</v>
      </c>
    </row>
    <row r="258" spans="1:21" ht="13.9">
      <c r="A258" s="104"/>
      <c r="B258" s="71" t="s">
        <v>622</v>
      </c>
      <c r="C258" s="66" t="s">
        <v>22</v>
      </c>
      <c r="D258" s="66" t="s">
        <v>42</v>
      </c>
      <c r="E258" s="81" t="s">
        <v>629</v>
      </c>
      <c r="F258" s="71" t="s">
        <v>265</v>
      </c>
      <c r="G258" s="66" t="s">
        <v>399</v>
      </c>
      <c r="H258" s="66">
        <v>0.5</v>
      </c>
      <c r="I258" s="66"/>
      <c r="J258" s="66"/>
      <c r="K258" s="69">
        <v>175000000</v>
      </c>
      <c r="L258" s="3">
        <v>455409988</v>
      </c>
      <c r="M258" s="69">
        <f>+K258+L258</f>
        <v>630409988</v>
      </c>
      <c r="N258" s="71" t="s">
        <v>73</v>
      </c>
      <c r="O258" s="71" t="s">
        <v>51</v>
      </c>
      <c r="P258" s="66">
        <v>2025</v>
      </c>
      <c r="Q258" s="66" t="s">
        <v>115</v>
      </c>
      <c r="R258" s="66"/>
      <c r="S258" s="66"/>
      <c r="T258" s="80">
        <v>1</v>
      </c>
      <c r="U258" s="66" t="s">
        <v>74</v>
      </c>
    </row>
    <row r="259" spans="1:21" ht="13.9">
      <c r="A259" s="104"/>
      <c r="B259" s="71" t="s">
        <v>622</v>
      </c>
      <c r="C259" s="66" t="s">
        <v>22</v>
      </c>
      <c r="D259" s="66" t="s">
        <v>23</v>
      </c>
      <c r="E259" s="81">
        <v>4600017696</v>
      </c>
      <c r="F259" s="71" t="s">
        <v>208</v>
      </c>
      <c r="G259" s="66" t="s">
        <v>630</v>
      </c>
      <c r="H259" s="66">
        <v>17.3</v>
      </c>
      <c r="I259" s="66"/>
      <c r="J259" s="66"/>
      <c r="K259" s="69">
        <v>9777942</v>
      </c>
      <c r="L259" s="3">
        <v>0</v>
      </c>
      <c r="M259" s="69">
        <f>+K259</f>
        <v>9777942</v>
      </c>
      <c r="N259" s="71" t="s">
        <v>28</v>
      </c>
      <c r="O259" s="71" t="s">
        <v>51</v>
      </c>
      <c r="P259" s="66">
        <v>2024</v>
      </c>
      <c r="Q259" s="66"/>
      <c r="R259" s="66"/>
      <c r="S259" s="66"/>
      <c r="T259" s="80">
        <v>1</v>
      </c>
      <c r="U259" s="66" t="s">
        <v>81</v>
      </c>
    </row>
    <row r="260" spans="1:21" ht="34.15" customHeight="1">
      <c r="A260" s="100"/>
      <c r="B260" s="71" t="s">
        <v>622</v>
      </c>
      <c r="C260" s="66" t="s">
        <v>22</v>
      </c>
      <c r="D260" s="66" t="s">
        <v>42</v>
      </c>
      <c r="E260" s="81" t="s">
        <v>631</v>
      </c>
      <c r="F260" s="71" t="s">
        <v>80</v>
      </c>
      <c r="G260" s="66" t="s">
        <v>525</v>
      </c>
      <c r="H260" s="66">
        <v>0.53</v>
      </c>
      <c r="I260" s="66"/>
      <c r="J260" s="66"/>
      <c r="K260" s="2">
        <v>185500000</v>
      </c>
      <c r="L260" s="69">
        <v>638037793</v>
      </c>
      <c r="M260" s="69">
        <f>+L260+K260</f>
        <v>823537793</v>
      </c>
      <c r="N260" s="71" t="s">
        <v>73</v>
      </c>
      <c r="O260" s="71" t="s">
        <v>51</v>
      </c>
      <c r="P260" s="66">
        <v>2024</v>
      </c>
      <c r="Q260" s="66" t="s">
        <v>38</v>
      </c>
      <c r="R260" s="66"/>
      <c r="S260" s="66"/>
      <c r="T260" s="80">
        <v>1</v>
      </c>
      <c r="U260" s="71" t="s">
        <v>69</v>
      </c>
    </row>
    <row r="261" spans="1:21" ht="55.15" hidden="1">
      <c r="A261" s="99">
        <v>69</v>
      </c>
      <c r="B261" s="71" t="s">
        <v>632</v>
      </c>
      <c r="C261" s="66" t="s">
        <v>41</v>
      </c>
      <c r="D261" s="66" t="s">
        <v>23</v>
      </c>
      <c r="E261" s="81" t="s">
        <v>633</v>
      </c>
      <c r="F261" s="76" t="s">
        <v>634</v>
      </c>
      <c r="G261" s="71" t="s">
        <v>635</v>
      </c>
      <c r="H261" s="71"/>
      <c r="I261" s="71"/>
      <c r="J261" s="71"/>
      <c r="K261" s="79">
        <f>12959577766/5</f>
        <v>2591915553.1999998</v>
      </c>
      <c r="L261" s="79">
        <v>0</v>
      </c>
      <c r="M261" s="69">
        <f>12959577766/5</f>
        <v>2591915553.1999998</v>
      </c>
      <c r="N261" s="71" t="s">
        <v>496</v>
      </c>
      <c r="O261" s="71" t="s">
        <v>96</v>
      </c>
      <c r="P261" s="66">
        <v>2023</v>
      </c>
      <c r="Q261" s="66"/>
      <c r="R261" s="66"/>
      <c r="S261" s="66"/>
      <c r="T261" s="70">
        <v>1</v>
      </c>
      <c r="U261" s="66" t="s">
        <v>81</v>
      </c>
    </row>
    <row r="262" spans="1:21" ht="102" customHeight="1">
      <c r="A262" s="104"/>
      <c r="B262" s="71" t="s">
        <v>632</v>
      </c>
      <c r="C262" s="66" t="s">
        <v>41</v>
      </c>
      <c r="D262" s="66" t="s">
        <v>23</v>
      </c>
      <c r="E262" s="81" t="s">
        <v>636</v>
      </c>
      <c r="F262" s="71" t="s">
        <v>637</v>
      </c>
      <c r="G262" s="66" t="s">
        <v>638</v>
      </c>
      <c r="H262" s="66">
        <v>12.8</v>
      </c>
      <c r="I262" s="66"/>
      <c r="J262" s="66"/>
      <c r="K262" s="69">
        <v>26589156689</v>
      </c>
      <c r="L262" s="69">
        <v>0</v>
      </c>
      <c r="M262" s="2">
        <f>+K262</f>
        <v>26589156689</v>
      </c>
      <c r="N262" s="71" t="s">
        <v>496</v>
      </c>
      <c r="O262" s="71" t="s">
        <v>96</v>
      </c>
      <c r="P262" s="66">
        <v>2025</v>
      </c>
      <c r="Q262" s="66"/>
      <c r="R262" s="66"/>
      <c r="S262" s="66"/>
      <c r="T262" s="80"/>
      <c r="U262" s="71" t="s">
        <v>639</v>
      </c>
    </row>
    <row r="263" spans="1:21" ht="102" customHeight="1">
      <c r="A263" s="104"/>
      <c r="B263" s="71" t="s">
        <v>640</v>
      </c>
      <c r="C263" s="66" t="s">
        <v>41</v>
      </c>
      <c r="D263" s="66" t="s">
        <v>174</v>
      </c>
      <c r="E263" s="81"/>
      <c r="F263" s="71" t="s">
        <v>641</v>
      </c>
      <c r="G263" s="66"/>
      <c r="H263" s="66"/>
      <c r="I263" s="66"/>
      <c r="J263" s="66"/>
      <c r="K263" s="69">
        <v>800000000</v>
      </c>
      <c r="L263" s="69">
        <v>0</v>
      </c>
      <c r="M263" s="2">
        <f>+K263</f>
        <v>800000000</v>
      </c>
      <c r="N263" s="71" t="s">
        <v>28</v>
      </c>
      <c r="O263" s="71" t="s">
        <v>114</v>
      </c>
      <c r="P263" s="66">
        <v>2024</v>
      </c>
      <c r="Q263" s="66"/>
      <c r="R263" s="66"/>
      <c r="S263" s="66"/>
      <c r="T263" s="80">
        <v>1</v>
      </c>
      <c r="U263" s="71" t="s">
        <v>115</v>
      </c>
    </row>
    <row r="264" spans="1:21" ht="55.15">
      <c r="A264" s="104"/>
      <c r="B264" s="71" t="s">
        <v>640</v>
      </c>
      <c r="C264" s="66" t="s">
        <v>41</v>
      </c>
      <c r="D264" s="66" t="s">
        <v>174</v>
      </c>
      <c r="E264" s="81"/>
      <c r="F264" s="71" t="s">
        <v>642</v>
      </c>
      <c r="G264" s="66" t="s">
        <v>643</v>
      </c>
      <c r="H264" s="66" t="s">
        <v>643</v>
      </c>
      <c r="I264" s="66"/>
      <c r="J264" s="66"/>
      <c r="K264" s="69">
        <v>14000000000</v>
      </c>
      <c r="L264" s="69">
        <v>0</v>
      </c>
      <c r="M264" s="2">
        <f>+K264</f>
        <v>14000000000</v>
      </c>
      <c r="N264" s="71" t="s">
        <v>28</v>
      </c>
      <c r="O264" s="71" t="s">
        <v>45</v>
      </c>
      <c r="P264" s="66">
        <v>2025</v>
      </c>
      <c r="Q264" s="66"/>
      <c r="R264" s="66"/>
      <c r="S264" s="66"/>
      <c r="T264" s="80"/>
      <c r="U264" s="71" t="s">
        <v>644</v>
      </c>
    </row>
    <row r="265" spans="1:21" ht="46.15" customHeight="1">
      <c r="A265" s="104"/>
      <c r="B265" s="71" t="s">
        <v>632</v>
      </c>
      <c r="C265" s="66" t="s">
        <v>41</v>
      </c>
      <c r="D265" s="66" t="s">
        <v>23</v>
      </c>
      <c r="E265" s="81">
        <v>4600017631</v>
      </c>
      <c r="F265" s="71" t="s">
        <v>208</v>
      </c>
      <c r="G265" s="66" t="s">
        <v>645</v>
      </c>
      <c r="H265" s="66">
        <v>48.3</v>
      </c>
      <c r="I265" s="66"/>
      <c r="J265" s="66"/>
      <c r="K265" s="69">
        <v>62221095</v>
      </c>
      <c r="L265" s="69">
        <v>0</v>
      </c>
      <c r="M265" s="3">
        <f>+K265</f>
        <v>62221095</v>
      </c>
      <c r="N265" s="66" t="s">
        <v>28</v>
      </c>
      <c r="O265" s="66" t="s">
        <v>114</v>
      </c>
      <c r="P265" s="66">
        <v>2025</v>
      </c>
      <c r="Q265" s="66"/>
      <c r="R265" s="66"/>
      <c r="S265" s="66"/>
      <c r="T265" s="80">
        <v>1</v>
      </c>
      <c r="U265" s="71" t="s">
        <v>69</v>
      </c>
    </row>
    <row r="266" spans="1:21" ht="46.15" customHeight="1">
      <c r="A266" s="67"/>
      <c r="B266" s="71" t="s">
        <v>646</v>
      </c>
      <c r="C266" s="71" t="s">
        <v>336</v>
      </c>
      <c r="D266" s="66" t="s">
        <v>174</v>
      </c>
      <c r="E266" s="81" t="s">
        <v>62</v>
      </c>
      <c r="F266" s="71" t="s">
        <v>647</v>
      </c>
      <c r="G266" s="66" t="s">
        <v>648</v>
      </c>
      <c r="H266" s="66" t="s">
        <v>648</v>
      </c>
      <c r="I266" s="66" t="s">
        <v>106</v>
      </c>
      <c r="J266" s="66" t="s">
        <v>649</v>
      </c>
      <c r="K266" s="69" t="s">
        <v>650</v>
      </c>
      <c r="L266" s="69">
        <v>0</v>
      </c>
      <c r="M266" s="3" t="s">
        <v>651</v>
      </c>
      <c r="N266" s="66" t="s">
        <v>37</v>
      </c>
      <c r="O266" s="66" t="s">
        <v>45</v>
      </c>
      <c r="P266" s="66">
        <v>2026</v>
      </c>
      <c r="Q266" s="66" t="s">
        <v>129</v>
      </c>
      <c r="R266" s="66"/>
      <c r="S266" s="66"/>
      <c r="T266" s="80">
        <v>0</v>
      </c>
      <c r="U266" s="71"/>
    </row>
    <row r="267" spans="1:21" ht="40.9" customHeight="1">
      <c r="A267" s="93">
        <v>70</v>
      </c>
      <c r="B267" s="71" t="s">
        <v>646</v>
      </c>
      <c r="C267" s="71" t="s">
        <v>336</v>
      </c>
      <c r="D267" s="71" t="s">
        <v>42</v>
      </c>
      <c r="E267" s="45" t="s">
        <v>652</v>
      </c>
      <c r="F267" s="71" t="s">
        <v>80</v>
      </c>
      <c r="G267" s="66" t="s">
        <v>76</v>
      </c>
      <c r="H267" s="66">
        <v>1</v>
      </c>
      <c r="I267" s="66" t="s">
        <v>106</v>
      </c>
      <c r="J267" s="66"/>
      <c r="K267" s="2">
        <v>350000000</v>
      </c>
      <c r="L267" s="2">
        <v>672054008</v>
      </c>
      <c r="M267" s="2">
        <f>+K267+L267</f>
        <v>1022054008</v>
      </c>
      <c r="N267" s="3" t="s">
        <v>73</v>
      </c>
      <c r="O267" s="71" t="s">
        <v>51</v>
      </c>
      <c r="P267" s="66">
        <v>2024</v>
      </c>
      <c r="Q267" s="66" t="s">
        <v>115</v>
      </c>
      <c r="R267" s="66"/>
      <c r="S267" s="66"/>
      <c r="T267" s="80">
        <v>1</v>
      </c>
      <c r="U267" s="71"/>
    </row>
    <row r="268" spans="1:21" ht="40.9" customHeight="1">
      <c r="A268" s="93"/>
      <c r="B268" s="71" t="s">
        <v>646</v>
      </c>
      <c r="C268" s="71" t="s">
        <v>336</v>
      </c>
      <c r="D268" s="71" t="s">
        <v>42</v>
      </c>
      <c r="E268" s="45" t="s">
        <v>653</v>
      </c>
      <c r="F268" s="71" t="s">
        <v>80</v>
      </c>
      <c r="G268" s="66" t="s">
        <v>76</v>
      </c>
      <c r="H268" s="66">
        <v>1</v>
      </c>
      <c r="I268" s="66" t="s">
        <v>88</v>
      </c>
      <c r="J268" s="66"/>
      <c r="K268" s="2">
        <v>350000000</v>
      </c>
      <c r="L268" s="69">
        <v>756054008</v>
      </c>
      <c r="M268" s="69">
        <f>+K268+L268</f>
        <v>1106054008</v>
      </c>
      <c r="N268" s="71" t="s">
        <v>73</v>
      </c>
      <c r="O268" s="71" t="s">
        <v>51</v>
      </c>
      <c r="P268" s="66">
        <v>2024</v>
      </c>
      <c r="Q268" s="66" t="s">
        <v>115</v>
      </c>
      <c r="R268" s="66"/>
      <c r="S268" s="66"/>
      <c r="T268" s="80">
        <v>1</v>
      </c>
      <c r="U268" s="71"/>
    </row>
    <row r="269" spans="1:21" ht="40.9" customHeight="1">
      <c r="A269" s="93"/>
      <c r="B269" s="71" t="s">
        <v>646</v>
      </c>
      <c r="C269" s="71" t="s">
        <v>336</v>
      </c>
      <c r="D269" s="71" t="s">
        <v>42</v>
      </c>
      <c r="E269" s="45" t="s">
        <v>654</v>
      </c>
      <c r="F269" s="71" t="s">
        <v>75</v>
      </c>
      <c r="G269" s="71" t="s">
        <v>141</v>
      </c>
      <c r="H269" s="71">
        <v>0.2</v>
      </c>
      <c r="I269" s="71" t="s">
        <v>88</v>
      </c>
      <c r="J269" s="71"/>
      <c r="K269" s="2">
        <v>70000000</v>
      </c>
      <c r="L269" s="69">
        <v>676054008</v>
      </c>
      <c r="M269" s="69">
        <f>+K269+L269</f>
        <v>746054008</v>
      </c>
      <c r="N269" s="71" t="s">
        <v>73</v>
      </c>
      <c r="O269" s="71" t="s">
        <v>51</v>
      </c>
      <c r="P269" s="66">
        <v>2025</v>
      </c>
      <c r="Q269" s="66" t="s">
        <v>38</v>
      </c>
      <c r="R269" s="66"/>
      <c r="S269" s="66"/>
      <c r="T269" s="80">
        <v>1</v>
      </c>
      <c r="U269" s="71"/>
    </row>
    <row r="270" spans="1:21" ht="40.9" customHeight="1">
      <c r="A270" s="93"/>
      <c r="B270" s="71" t="s">
        <v>646</v>
      </c>
      <c r="C270" s="71" t="s">
        <v>336</v>
      </c>
      <c r="D270" s="71" t="s">
        <v>42</v>
      </c>
      <c r="E270" s="45">
        <v>2024003050246</v>
      </c>
      <c r="F270" s="71" t="s">
        <v>655</v>
      </c>
      <c r="G270" s="66" t="s">
        <v>105</v>
      </c>
      <c r="H270" s="66">
        <v>2</v>
      </c>
      <c r="I270" s="66" t="s">
        <v>88</v>
      </c>
      <c r="J270" s="66"/>
      <c r="K270" s="3">
        <v>3262502317</v>
      </c>
      <c r="L270" s="69">
        <v>815625579</v>
      </c>
      <c r="M270" s="69">
        <f>+K270+L270</f>
        <v>4078127896</v>
      </c>
      <c r="N270" s="2" t="s">
        <v>37</v>
      </c>
      <c r="O270" s="2" t="s">
        <v>45</v>
      </c>
      <c r="P270" s="66">
        <v>2024</v>
      </c>
      <c r="Q270" s="66" t="s">
        <v>38</v>
      </c>
      <c r="R270" s="66"/>
      <c r="S270" s="66"/>
      <c r="T270" s="70">
        <v>1</v>
      </c>
      <c r="U270" s="66"/>
    </row>
    <row r="271" spans="1:21" ht="40.9" hidden="1" customHeight="1">
      <c r="A271" s="66"/>
      <c r="B271" s="71" t="s">
        <v>656</v>
      </c>
      <c r="C271" s="71" t="s">
        <v>22</v>
      </c>
      <c r="D271" s="71" t="s">
        <v>48</v>
      </c>
      <c r="E271" s="45">
        <v>2020054400058</v>
      </c>
      <c r="F271" s="71" t="s">
        <v>229</v>
      </c>
      <c r="G271" s="66" t="s">
        <v>657</v>
      </c>
      <c r="H271" s="66" t="s">
        <v>657</v>
      </c>
      <c r="I271" s="66"/>
      <c r="J271" s="66"/>
      <c r="K271" s="3">
        <v>5000000000</v>
      </c>
      <c r="L271" s="69">
        <v>6430293394</v>
      </c>
      <c r="M271" s="69">
        <f>+K271+L271</f>
        <v>11430293394</v>
      </c>
      <c r="N271" s="2" t="s">
        <v>37</v>
      </c>
      <c r="O271" s="2" t="s">
        <v>51</v>
      </c>
      <c r="P271" s="66">
        <v>2021</v>
      </c>
      <c r="Q271" s="66" t="s">
        <v>38</v>
      </c>
      <c r="R271" s="66"/>
      <c r="S271" s="66"/>
      <c r="T271" s="70">
        <v>1</v>
      </c>
      <c r="U271" s="66" t="s">
        <v>69</v>
      </c>
    </row>
    <row r="272" spans="1:21" ht="61.15" customHeight="1">
      <c r="A272" s="93">
        <v>71</v>
      </c>
      <c r="B272" s="71" t="s">
        <v>656</v>
      </c>
      <c r="C272" s="66" t="s">
        <v>22</v>
      </c>
      <c r="D272" s="66" t="s">
        <v>42</v>
      </c>
      <c r="E272" s="81">
        <v>2025003050020</v>
      </c>
      <c r="F272" s="71" t="s">
        <v>658</v>
      </c>
      <c r="G272" s="66" t="s">
        <v>105</v>
      </c>
      <c r="H272" s="66">
        <v>2</v>
      </c>
      <c r="I272" s="66"/>
      <c r="J272" s="66"/>
      <c r="K272" s="69">
        <f>+M272-L272</f>
        <v>5927908739</v>
      </c>
      <c r="L272" s="69">
        <v>959517257</v>
      </c>
      <c r="M272" s="3">
        <v>6887425996</v>
      </c>
      <c r="N272" s="2" t="s">
        <v>37</v>
      </c>
      <c r="O272" s="2" t="s">
        <v>45</v>
      </c>
      <c r="P272" s="66">
        <v>2025</v>
      </c>
      <c r="Q272" s="66" t="s">
        <v>30</v>
      </c>
      <c r="R272" s="66"/>
      <c r="S272" s="66"/>
      <c r="T272" s="70">
        <v>0.93</v>
      </c>
      <c r="U272" s="71"/>
    </row>
    <row r="273" spans="1:21" ht="61.15" customHeight="1">
      <c r="A273" s="93"/>
      <c r="B273" s="71" t="s">
        <v>656</v>
      </c>
      <c r="C273" s="66" t="s">
        <v>22</v>
      </c>
      <c r="D273" s="66" t="s">
        <v>42</v>
      </c>
      <c r="E273" s="81" t="s">
        <v>659</v>
      </c>
      <c r="F273" s="71" t="s">
        <v>265</v>
      </c>
      <c r="G273" s="66" t="s">
        <v>399</v>
      </c>
      <c r="H273" s="66">
        <v>0.5</v>
      </c>
      <c r="I273" s="66"/>
      <c r="J273" s="66"/>
      <c r="K273" s="69">
        <v>175000000</v>
      </c>
      <c r="L273" s="69">
        <v>334551431</v>
      </c>
      <c r="M273" s="3">
        <f>+K273+L273</f>
        <v>509551431</v>
      </c>
      <c r="N273" s="2" t="s">
        <v>73</v>
      </c>
      <c r="O273" s="2" t="s">
        <v>51</v>
      </c>
      <c r="P273" s="66">
        <v>2025</v>
      </c>
      <c r="Q273" s="66" t="s">
        <v>115</v>
      </c>
      <c r="R273" s="66"/>
      <c r="S273" s="66"/>
      <c r="T273" s="70">
        <v>1</v>
      </c>
      <c r="U273" s="71" t="s">
        <v>74</v>
      </c>
    </row>
    <row r="274" spans="1:21" ht="13.9">
      <c r="A274" s="93"/>
      <c r="B274" s="71" t="s">
        <v>656</v>
      </c>
      <c r="C274" s="66" t="s">
        <v>22</v>
      </c>
      <c r="D274" s="66" t="s">
        <v>42</v>
      </c>
      <c r="E274" s="81" t="s">
        <v>660</v>
      </c>
      <c r="F274" s="71" t="s">
        <v>80</v>
      </c>
      <c r="G274" s="66" t="s">
        <v>76</v>
      </c>
      <c r="H274" s="66">
        <v>1</v>
      </c>
      <c r="I274" s="66"/>
      <c r="J274" s="66"/>
      <c r="K274" s="2">
        <v>349992105</v>
      </c>
      <c r="L274" s="69">
        <v>595429488</v>
      </c>
      <c r="M274" s="69">
        <f>+K274+L274</f>
        <v>945421593</v>
      </c>
      <c r="N274" s="2" t="s">
        <v>73</v>
      </c>
      <c r="O274" s="2" t="s">
        <v>51</v>
      </c>
      <c r="P274" s="66">
        <v>2024</v>
      </c>
      <c r="Q274" s="66" t="s">
        <v>115</v>
      </c>
      <c r="R274" s="66"/>
      <c r="S274" s="66"/>
      <c r="T274" s="80">
        <v>1</v>
      </c>
      <c r="U274" s="71" t="s">
        <v>69</v>
      </c>
    </row>
    <row r="275" spans="1:21" ht="13.9">
      <c r="A275" s="93"/>
      <c r="B275" s="71" t="s">
        <v>656</v>
      </c>
      <c r="C275" s="66" t="s">
        <v>22</v>
      </c>
      <c r="D275" s="66" t="s">
        <v>42</v>
      </c>
      <c r="E275" s="81" t="s">
        <v>661</v>
      </c>
      <c r="F275" s="71" t="s">
        <v>662</v>
      </c>
      <c r="G275" s="66" t="s">
        <v>141</v>
      </c>
      <c r="H275" s="66">
        <v>0.2</v>
      </c>
      <c r="I275" s="66"/>
      <c r="J275" s="66"/>
      <c r="K275" s="9">
        <v>232558046</v>
      </c>
      <c r="L275" s="43">
        <v>24254705</v>
      </c>
      <c r="M275" s="43">
        <f>+K275+L275</f>
        <v>256812751</v>
      </c>
      <c r="N275" s="2" t="s">
        <v>28</v>
      </c>
      <c r="O275" s="2" t="s">
        <v>51</v>
      </c>
      <c r="P275" s="66">
        <v>2025</v>
      </c>
      <c r="Q275" s="66" t="s">
        <v>115</v>
      </c>
      <c r="R275" s="66"/>
      <c r="S275" s="66"/>
      <c r="T275" s="80">
        <v>1</v>
      </c>
      <c r="U275" s="71" t="s">
        <v>74</v>
      </c>
    </row>
    <row r="276" spans="1:21" ht="13.9">
      <c r="A276" s="93"/>
      <c r="B276" s="66" t="s">
        <v>663</v>
      </c>
      <c r="C276" s="66" t="s">
        <v>22</v>
      </c>
      <c r="D276" s="66" t="s">
        <v>42</v>
      </c>
      <c r="E276" s="81" t="s">
        <v>664</v>
      </c>
      <c r="F276" s="71" t="s">
        <v>80</v>
      </c>
      <c r="G276" s="66" t="s">
        <v>76</v>
      </c>
      <c r="H276" s="66">
        <v>1</v>
      </c>
      <c r="I276" s="66"/>
      <c r="J276" s="66"/>
      <c r="K276" s="69">
        <v>349998338</v>
      </c>
      <c r="L276" s="69">
        <v>847342338</v>
      </c>
      <c r="M276" s="69">
        <f>+K276+L276</f>
        <v>1197340676</v>
      </c>
      <c r="N276" s="71" t="s">
        <v>73</v>
      </c>
      <c r="O276" s="71" t="s">
        <v>51</v>
      </c>
      <c r="P276" s="66">
        <v>2024</v>
      </c>
      <c r="Q276" s="66" t="s">
        <v>115</v>
      </c>
      <c r="R276" s="66"/>
      <c r="S276" s="66"/>
      <c r="T276" s="80">
        <v>1</v>
      </c>
      <c r="U276" s="71" t="s">
        <v>69</v>
      </c>
    </row>
    <row r="277" spans="1:21" ht="13.9">
      <c r="A277" s="66">
        <v>72</v>
      </c>
      <c r="B277" s="71" t="s">
        <v>665</v>
      </c>
      <c r="C277" s="66" t="s">
        <v>224</v>
      </c>
      <c r="D277" s="66" t="s">
        <v>119</v>
      </c>
      <c r="E277" s="81" t="s">
        <v>62</v>
      </c>
      <c r="F277" s="71" t="s">
        <v>666</v>
      </c>
      <c r="G277" s="66" t="s">
        <v>667</v>
      </c>
      <c r="H277" s="66" t="s">
        <v>667</v>
      </c>
      <c r="I277" s="66"/>
      <c r="J277" s="66"/>
      <c r="K277" s="69">
        <v>4800000000</v>
      </c>
      <c r="L277" s="69">
        <v>0</v>
      </c>
      <c r="M277" s="69">
        <f>+K277</f>
        <v>4800000000</v>
      </c>
      <c r="N277" s="71" t="s">
        <v>28</v>
      </c>
      <c r="O277" s="71" t="s">
        <v>45</v>
      </c>
      <c r="P277" s="66">
        <v>2025</v>
      </c>
      <c r="Q277" s="66" t="s">
        <v>38</v>
      </c>
      <c r="R277" s="66"/>
      <c r="S277" s="66"/>
      <c r="T277" s="44">
        <v>1</v>
      </c>
      <c r="U277" s="66"/>
    </row>
    <row r="278" spans="1:21" ht="13.9">
      <c r="A278" s="66"/>
      <c r="B278" s="71" t="s">
        <v>668</v>
      </c>
      <c r="C278" s="66" t="s">
        <v>83</v>
      </c>
      <c r="D278" s="66" t="s">
        <v>23</v>
      </c>
      <c r="E278" s="81">
        <v>4600017698</v>
      </c>
      <c r="F278" s="71" t="s">
        <v>208</v>
      </c>
      <c r="G278" s="66" t="s">
        <v>669</v>
      </c>
      <c r="H278" s="66">
        <v>40.299999999999997</v>
      </c>
      <c r="I278" s="66"/>
      <c r="J278" s="66"/>
      <c r="K278" s="69">
        <v>53592543</v>
      </c>
      <c r="L278" s="3">
        <v>0</v>
      </c>
      <c r="M278" s="69">
        <f>+K278</f>
        <v>53592543</v>
      </c>
      <c r="N278" s="71" t="s">
        <v>330</v>
      </c>
      <c r="O278" s="71" t="s">
        <v>51</v>
      </c>
      <c r="P278" s="66">
        <v>2024</v>
      </c>
      <c r="Q278" s="66" t="s">
        <v>38</v>
      </c>
      <c r="R278" s="66"/>
      <c r="S278" s="66"/>
      <c r="T278" s="70">
        <v>1</v>
      </c>
      <c r="U278" s="66" t="s">
        <v>69</v>
      </c>
    </row>
    <row r="279" spans="1:21" ht="13.9">
      <c r="A279" s="66"/>
      <c r="B279" s="71" t="s">
        <v>668</v>
      </c>
      <c r="C279" s="66" t="s">
        <v>83</v>
      </c>
      <c r="D279" s="66" t="s">
        <v>42</v>
      </c>
      <c r="E279" s="81">
        <v>2026003050017</v>
      </c>
      <c r="F279" s="71" t="s">
        <v>670</v>
      </c>
      <c r="G279" s="66" t="s">
        <v>76</v>
      </c>
      <c r="H279" s="66">
        <v>1</v>
      </c>
      <c r="I279" s="66"/>
      <c r="J279" s="66"/>
      <c r="K279" s="69">
        <v>2177276654</v>
      </c>
      <c r="L279" s="3">
        <v>0</v>
      </c>
      <c r="M279" s="69">
        <f>+K279</f>
        <v>2177276654</v>
      </c>
      <c r="N279" s="71" t="s">
        <v>37</v>
      </c>
      <c r="O279" s="71" t="s">
        <v>78</v>
      </c>
      <c r="P279" s="66">
        <v>2026</v>
      </c>
      <c r="Q279" s="66" t="s">
        <v>99</v>
      </c>
      <c r="R279" s="66"/>
      <c r="S279" s="66"/>
      <c r="T279" s="70"/>
      <c r="U279" s="66"/>
    </row>
    <row r="280" spans="1:21" ht="13.9">
      <c r="A280" s="66">
        <v>73</v>
      </c>
      <c r="B280" s="71" t="s">
        <v>668</v>
      </c>
      <c r="C280" s="66" t="s">
        <v>83</v>
      </c>
      <c r="D280" s="66" t="s">
        <v>42</v>
      </c>
      <c r="E280" s="81" t="s">
        <v>671</v>
      </c>
      <c r="F280" s="71" t="s">
        <v>80</v>
      </c>
      <c r="G280" s="66" t="s">
        <v>76</v>
      </c>
      <c r="H280" s="66">
        <v>1</v>
      </c>
      <c r="I280" s="66"/>
      <c r="J280" s="66"/>
      <c r="K280" s="79">
        <v>350000000</v>
      </c>
      <c r="L280" s="2">
        <v>449567559</v>
      </c>
      <c r="M280" s="69">
        <f>+K280+L280</f>
        <v>799567559</v>
      </c>
      <c r="N280" s="71" t="s">
        <v>73</v>
      </c>
      <c r="O280" s="71" t="s">
        <v>51</v>
      </c>
      <c r="P280" s="66">
        <v>2024</v>
      </c>
      <c r="Q280" s="66" t="s">
        <v>38</v>
      </c>
      <c r="R280" s="66"/>
      <c r="S280" s="66"/>
      <c r="T280" s="70">
        <v>1</v>
      </c>
      <c r="U280" s="66"/>
    </row>
    <row r="281" spans="1:21" ht="27.6">
      <c r="A281" s="93">
        <v>74</v>
      </c>
      <c r="B281" s="71" t="s">
        <v>672</v>
      </c>
      <c r="C281" s="66" t="s">
        <v>181</v>
      </c>
      <c r="D281" s="66" t="s">
        <v>48</v>
      </c>
      <c r="E281" s="81"/>
      <c r="F281" s="71" t="s">
        <v>346</v>
      </c>
      <c r="G281" s="66" t="s">
        <v>620</v>
      </c>
      <c r="H281" s="66" t="s">
        <v>620</v>
      </c>
      <c r="I281" s="66"/>
      <c r="J281" s="66"/>
      <c r="K281" s="69">
        <v>1878203546</v>
      </c>
      <c r="L281" s="69">
        <v>29881773</v>
      </c>
      <c r="M281" s="69">
        <f>+K281+L281</f>
        <v>1908085319</v>
      </c>
      <c r="N281" s="71" t="s">
        <v>28</v>
      </c>
      <c r="O281" s="71" t="s">
        <v>51</v>
      </c>
      <c r="P281" s="66">
        <v>2025</v>
      </c>
      <c r="Q281" s="66"/>
      <c r="R281" s="66"/>
      <c r="S281" s="66"/>
      <c r="T281" s="70">
        <v>1</v>
      </c>
      <c r="U281" s="66" t="s">
        <v>115</v>
      </c>
    </row>
    <row r="282" spans="1:21" ht="13.9" hidden="1">
      <c r="A282" s="93"/>
      <c r="B282" s="71" t="s">
        <v>672</v>
      </c>
      <c r="C282" s="66" t="s">
        <v>181</v>
      </c>
      <c r="D282" s="66"/>
      <c r="E282" s="81"/>
      <c r="F282" s="71" t="s">
        <v>673</v>
      </c>
      <c r="G282" s="66" t="s">
        <v>674</v>
      </c>
      <c r="H282" s="66">
        <v>3</v>
      </c>
      <c r="I282" s="66"/>
      <c r="J282" s="66"/>
      <c r="K282" s="69">
        <v>2631000000</v>
      </c>
      <c r="L282" s="69">
        <v>0</v>
      </c>
      <c r="M282" s="69">
        <v>2631000000</v>
      </c>
      <c r="N282" s="71" t="s">
        <v>28</v>
      </c>
      <c r="O282" s="71" t="s">
        <v>51</v>
      </c>
      <c r="P282" s="66">
        <v>2023</v>
      </c>
      <c r="Q282" s="66" t="s">
        <v>30</v>
      </c>
      <c r="R282" s="66"/>
      <c r="S282" s="66"/>
      <c r="T282" s="40">
        <v>0.85</v>
      </c>
      <c r="U282" s="66"/>
    </row>
    <row r="283" spans="1:21" ht="37.15" customHeight="1">
      <c r="A283" s="93">
        <v>75</v>
      </c>
      <c r="B283" s="71" t="s">
        <v>675</v>
      </c>
      <c r="C283" s="66" t="s">
        <v>181</v>
      </c>
      <c r="D283" s="66" t="s">
        <v>23</v>
      </c>
      <c r="E283" s="81"/>
      <c r="F283" s="71" t="s">
        <v>101</v>
      </c>
      <c r="G283" s="66" t="s">
        <v>676</v>
      </c>
      <c r="H283" s="66" t="s">
        <v>677</v>
      </c>
      <c r="I283" s="66"/>
      <c r="J283" s="66"/>
      <c r="K283" s="69">
        <f>1530782644*10</f>
        <v>15307826440</v>
      </c>
      <c r="L283" s="69">
        <v>0</v>
      </c>
      <c r="M283" s="69">
        <f>+K283</f>
        <v>15307826440</v>
      </c>
      <c r="N283" s="71" t="s">
        <v>28</v>
      </c>
      <c r="O283" s="71" t="s">
        <v>96</v>
      </c>
      <c r="P283" s="66">
        <v>2025</v>
      </c>
      <c r="Q283" s="66" t="s">
        <v>30</v>
      </c>
      <c r="R283" s="85"/>
      <c r="S283" s="87"/>
      <c r="T283" s="80"/>
      <c r="U283" s="66" t="s">
        <v>154</v>
      </c>
    </row>
    <row r="284" spans="1:21" ht="13.9">
      <c r="A284" s="93"/>
      <c r="B284" s="71" t="s">
        <v>675</v>
      </c>
      <c r="C284" s="66" t="s">
        <v>181</v>
      </c>
      <c r="D284" s="66" t="s">
        <v>42</v>
      </c>
      <c r="E284" s="81" t="s">
        <v>678</v>
      </c>
      <c r="F284" s="71" t="s">
        <v>80</v>
      </c>
      <c r="G284" s="66" t="s">
        <v>76</v>
      </c>
      <c r="H284" s="66">
        <v>1</v>
      </c>
      <c r="I284" s="66"/>
      <c r="J284" s="66"/>
      <c r="K284" s="69">
        <v>345414660</v>
      </c>
      <c r="L284" s="69">
        <v>287417939</v>
      </c>
      <c r="M284" s="2">
        <f>+K284+L284</f>
        <v>632832599</v>
      </c>
      <c r="N284" s="71" t="s">
        <v>73</v>
      </c>
      <c r="O284" s="71" t="s">
        <v>51</v>
      </c>
      <c r="P284" s="66">
        <v>2024</v>
      </c>
      <c r="Q284" s="66" t="s">
        <v>38</v>
      </c>
      <c r="R284" s="66"/>
      <c r="S284" s="66"/>
      <c r="T284" s="80">
        <v>1</v>
      </c>
      <c r="U284" s="71"/>
    </row>
    <row r="285" spans="1:21" ht="13.9">
      <c r="A285" s="100">
        <v>76</v>
      </c>
      <c r="B285" s="71" t="s">
        <v>679</v>
      </c>
      <c r="C285" s="66" t="s">
        <v>22</v>
      </c>
      <c r="D285" s="66" t="s">
        <v>42</v>
      </c>
      <c r="E285" s="81" t="s">
        <v>680</v>
      </c>
      <c r="F285" s="71" t="s">
        <v>80</v>
      </c>
      <c r="G285" s="66" t="s">
        <v>277</v>
      </c>
      <c r="H285" s="66">
        <v>0.3</v>
      </c>
      <c r="I285" s="66"/>
      <c r="J285" s="66"/>
      <c r="K285" s="69">
        <v>99279113</v>
      </c>
      <c r="L285" s="69">
        <v>93947684</v>
      </c>
      <c r="M285" s="69">
        <f>+K285+L285</f>
        <v>193226797</v>
      </c>
      <c r="N285" s="69" t="s">
        <v>73</v>
      </c>
      <c r="O285" s="69" t="s">
        <v>51</v>
      </c>
      <c r="P285" s="66">
        <v>2024</v>
      </c>
      <c r="Q285" s="66" t="s">
        <v>38</v>
      </c>
      <c r="R285" s="66"/>
      <c r="S285" s="66"/>
      <c r="T285" s="70">
        <v>1</v>
      </c>
      <c r="U285" s="66" t="s">
        <v>81</v>
      </c>
    </row>
    <row r="286" spans="1:21" ht="13.9">
      <c r="A286" s="100"/>
      <c r="B286" s="71" t="s">
        <v>679</v>
      </c>
      <c r="C286" s="66" t="s">
        <v>22</v>
      </c>
      <c r="D286" s="66" t="s">
        <v>42</v>
      </c>
      <c r="E286" s="81" t="s">
        <v>681</v>
      </c>
      <c r="F286" s="71" t="s">
        <v>265</v>
      </c>
      <c r="G286" s="66" t="s">
        <v>682</v>
      </c>
      <c r="H286" s="66">
        <v>0.17</v>
      </c>
      <c r="I286" s="66"/>
      <c r="J286" s="66"/>
      <c r="K286" s="69">
        <v>59500000</v>
      </c>
      <c r="L286" s="69">
        <v>52500000</v>
      </c>
      <c r="M286" s="69">
        <f>+K286+L286</f>
        <v>112000000</v>
      </c>
      <c r="N286" s="69" t="s">
        <v>73</v>
      </c>
      <c r="O286" s="69" t="s">
        <v>51</v>
      </c>
      <c r="P286" s="66">
        <v>2025</v>
      </c>
      <c r="Q286" s="66" t="s">
        <v>115</v>
      </c>
      <c r="R286" s="66"/>
      <c r="S286" s="66"/>
      <c r="T286" s="70">
        <v>1</v>
      </c>
      <c r="U286" s="66" t="s">
        <v>30</v>
      </c>
    </row>
    <row r="287" spans="1:21" ht="13.9">
      <c r="A287" s="100"/>
      <c r="B287" s="71" t="s">
        <v>679</v>
      </c>
      <c r="C287" s="66" t="s">
        <v>22</v>
      </c>
      <c r="D287" s="66" t="s">
        <v>42</v>
      </c>
      <c r="E287" s="81" t="s">
        <v>683</v>
      </c>
      <c r="F287" s="71" t="s">
        <v>684</v>
      </c>
      <c r="G287" s="66" t="s">
        <v>204</v>
      </c>
      <c r="H287" s="66">
        <v>0.1</v>
      </c>
      <c r="I287" s="66"/>
      <c r="J287" s="66"/>
      <c r="K287" s="43">
        <v>122309501</v>
      </c>
      <c r="L287" s="43">
        <v>13659984</v>
      </c>
      <c r="M287" s="43">
        <f>+L287+K287</f>
        <v>135969485</v>
      </c>
      <c r="N287" s="69" t="s">
        <v>28</v>
      </c>
      <c r="O287" s="69" t="s">
        <v>51</v>
      </c>
      <c r="P287" s="66">
        <v>2025</v>
      </c>
      <c r="Q287" s="66" t="s">
        <v>52</v>
      </c>
      <c r="R287" s="66"/>
      <c r="S287" s="66"/>
      <c r="T287" s="70">
        <v>1</v>
      </c>
      <c r="U287" s="71" t="s">
        <v>74</v>
      </c>
    </row>
    <row r="288" spans="1:21" ht="13.9">
      <c r="A288" s="100"/>
      <c r="B288" s="71" t="s">
        <v>679</v>
      </c>
      <c r="C288" s="66" t="s">
        <v>22</v>
      </c>
      <c r="D288" s="66" t="s">
        <v>42</v>
      </c>
      <c r="E288" s="81" t="s">
        <v>685</v>
      </c>
      <c r="F288" s="71" t="s">
        <v>686</v>
      </c>
      <c r="G288" s="66" t="s">
        <v>204</v>
      </c>
      <c r="H288" s="66">
        <v>0.1</v>
      </c>
      <c r="I288" s="66"/>
      <c r="J288" s="66"/>
      <c r="K288" s="69">
        <v>121076780</v>
      </c>
      <c r="L288" s="69">
        <v>17861208</v>
      </c>
      <c r="M288" s="69">
        <f>+K288+L288</f>
        <v>138937988</v>
      </c>
      <c r="N288" s="69" t="s">
        <v>28</v>
      </c>
      <c r="O288" s="69" t="s">
        <v>51</v>
      </c>
      <c r="P288" s="66">
        <v>2025</v>
      </c>
      <c r="Q288" s="66" t="s">
        <v>52</v>
      </c>
      <c r="R288" s="66"/>
      <c r="S288" s="66"/>
      <c r="T288" s="70">
        <v>1</v>
      </c>
      <c r="U288" s="71" t="s">
        <v>74</v>
      </c>
    </row>
    <row r="289" spans="1:21" ht="13.9">
      <c r="A289" s="93"/>
      <c r="B289" s="71" t="s">
        <v>679</v>
      </c>
      <c r="C289" s="66" t="s">
        <v>22</v>
      </c>
      <c r="D289" s="66" t="s">
        <v>42</v>
      </c>
      <c r="E289" s="81" t="s">
        <v>687</v>
      </c>
      <c r="F289" s="71" t="s">
        <v>80</v>
      </c>
      <c r="G289" s="66" t="s">
        <v>688</v>
      </c>
      <c r="H289" s="66">
        <v>0.42</v>
      </c>
      <c r="I289" s="66"/>
      <c r="J289" s="66"/>
      <c r="K289" s="69">
        <v>147000000</v>
      </c>
      <c r="L289" s="69"/>
      <c r="M289" s="69">
        <v>147000000</v>
      </c>
      <c r="N289" s="71" t="s">
        <v>73</v>
      </c>
      <c r="O289" s="71" t="s">
        <v>51</v>
      </c>
      <c r="P289" s="66">
        <v>2025</v>
      </c>
      <c r="Q289" s="66" t="s">
        <v>38</v>
      </c>
      <c r="R289" s="66"/>
      <c r="S289" s="66"/>
      <c r="T289" s="70">
        <v>1</v>
      </c>
      <c r="U289" s="66" t="s">
        <v>30</v>
      </c>
    </row>
    <row r="290" spans="1:21" ht="27.6" hidden="1">
      <c r="A290" s="93"/>
      <c r="B290" s="71" t="s">
        <v>679</v>
      </c>
      <c r="C290" s="66" t="s">
        <v>22</v>
      </c>
      <c r="D290" s="66" t="s">
        <v>23</v>
      </c>
      <c r="E290" s="81"/>
      <c r="F290" s="71" t="s">
        <v>689</v>
      </c>
      <c r="G290" s="66" t="s">
        <v>396</v>
      </c>
      <c r="H290" s="66">
        <v>1.5</v>
      </c>
      <c r="I290" s="66"/>
      <c r="J290" s="66"/>
      <c r="K290" s="69">
        <v>3176221429</v>
      </c>
      <c r="L290" s="69">
        <v>0</v>
      </c>
      <c r="M290" s="69">
        <f>+K290</f>
        <v>3176221429</v>
      </c>
      <c r="N290" s="71" t="s">
        <v>28</v>
      </c>
      <c r="O290" s="71" t="s">
        <v>690</v>
      </c>
      <c r="P290" s="66">
        <v>2023</v>
      </c>
      <c r="Q290" s="66" t="s">
        <v>115</v>
      </c>
      <c r="R290" s="66"/>
      <c r="S290" s="66"/>
      <c r="T290" s="70">
        <v>1</v>
      </c>
      <c r="U290" s="66" t="s">
        <v>691</v>
      </c>
    </row>
    <row r="291" spans="1:21" ht="13.9">
      <c r="A291" s="93"/>
      <c r="B291" s="71" t="s">
        <v>679</v>
      </c>
      <c r="C291" s="66" t="s">
        <v>22</v>
      </c>
      <c r="D291" s="66" t="s">
        <v>23</v>
      </c>
      <c r="E291" s="81">
        <v>4600017626</v>
      </c>
      <c r="F291" s="71" t="s">
        <v>208</v>
      </c>
      <c r="G291" s="66" t="s">
        <v>692</v>
      </c>
      <c r="H291" s="66">
        <v>50.55</v>
      </c>
      <c r="I291" s="66"/>
      <c r="J291" s="66"/>
      <c r="K291" s="69">
        <v>67224225</v>
      </c>
      <c r="L291" s="69">
        <v>0</v>
      </c>
      <c r="M291" s="69">
        <f>+K291</f>
        <v>67224225</v>
      </c>
      <c r="N291" s="71" t="s">
        <v>28</v>
      </c>
      <c r="O291" s="71" t="s">
        <v>51</v>
      </c>
      <c r="P291" s="66">
        <v>2024</v>
      </c>
      <c r="Q291" s="66" t="s">
        <v>115</v>
      </c>
      <c r="R291" s="66"/>
      <c r="S291" s="66"/>
      <c r="T291" s="70">
        <v>1</v>
      </c>
      <c r="U291" s="66" t="s">
        <v>69</v>
      </c>
    </row>
    <row r="292" spans="1:21" ht="13.9">
      <c r="A292" s="93"/>
      <c r="B292" s="71" t="s">
        <v>679</v>
      </c>
      <c r="C292" s="66" t="s">
        <v>22</v>
      </c>
      <c r="D292" s="66"/>
      <c r="E292" s="81">
        <v>2025003050045</v>
      </c>
      <c r="F292" s="71" t="s">
        <v>75</v>
      </c>
      <c r="G292" s="66" t="s">
        <v>76</v>
      </c>
      <c r="H292" s="66">
        <v>1</v>
      </c>
      <c r="I292" s="66"/>
      <c r="J292" s="66"/>
      <c r="K292" s="2">
        <v>2077524258</v>
      </c>
      <c r="L292" s="69">
        <v>519381065</v>
      </c>
      <c r="M292" s="2">
        <f>+K292+L292</f>
        <v>2596905323</v>
      </c>
      <c r="N292" s="2" t="s">
        <v>37</v>
      </c>
      <c r="O292" s="2" t="s">
        <v>45</v>
      </c>
      <c r="P292" s="66">
        <v>2024</v>
      </c>
      <c r="Q292" s="66" t="s">
        <v>52</v>
      </c>
      <c r="R292" s="66"/>
      <c r="S292" s="66"/>
      <c r="T292" s="80">
        <v>1</v>
      </c>
      <c r="U292" s="71"/>
    </row>
    <row r="293" spans="1:21" ht="13.9">
      <c r="A293" s="93"/>
      <c r="B293" s="71" t="s">
        <v>679</v>
      </c>
      <c r="C293" s="66" t="s">
        <v>22</v>
      </c>
      <c r="D293" s="66" t="s">
        <v>42</v>
      </c>
      <c r="E293" s="81">
        <v>2024054830016</v>
      </c>
      <c r="F293" s="71" t="s">
        <v>693</v>
      </c>
      <c r="G293" s="66" t="s">
        <v>76</v>
      </c>
      <c r="H293" s="66">
        <v>1</v>
      </c>
      <c r="I293" s="66"/>
      <c r="J293" s="66"/>
      <c r="K293" s="2">
        <v>1680000000</v>
      </c>
      <c r="L293" s="69">
        <v>677899973</v>
      </c>
      <c r="M293" s="2">
        <f>+K293+L293</f>
        <v>2357899973</v>
      </c>
      <c r="N293" s="2" t="s">
        <v>37</v>
      </c>
      <c r="O293" s="2" t="s">
        <v>45</v>
      </c>
      <c r="P293" s="66">
        <v>2026</v>
      </c>
      <c r="Q293" s="66" t="s">
        <v>30</v>
      </c>
      <c r="R293" s="66"/>
      <c r="S293" s="66"/>
      <c r="T293" s="80">
        <v>0</v>
      </c>
      <c r="U293" s="71"/>
    </row>
    <row r="294" spans="1:21" ht="41.45">
      <c r="A294" s="66"/>
      <c r="B294" s="71" t="s">
        <v>694</v>
      </c>
      <c r="C294" s="66" t="s">
        <v>292</v>
      </c>
      <c r="D294" s="66" t="s">
        <v>23</v>
      </c>
      <c r="E294" s="81" t="s">
        <v>695</v>
      </c>
      <c r="F294" s="71" t="s">
        <v>160</v>
      </c>
      <c r="G294" s="66" t="s">
        <v>696</v>
      </c>
      <c r="H294" s="66">
        <v>6.3</v>
      </c>
      <c r="I294" s="47" t="s">
        <v>26</v>
      </c>
      <c r="J294" s="66" t="s">
        <v>541</v>
      </c>
      <c r="K294" s="2">
        <v>5629794897</v>
      </c>
      <c r="L294" s="69">
        <v>0</v>
      </c>
      <c r="M294" s="2">
        <f>+K294</f>
        <v>5629794897</v>
      </c>
      <c r="N294" s="2" t="s">
        <v>697</v>
      </c>
      <c r="O294" s="71" t="s">
        <v>45</v>
      </c>
      <c r="P294" s="66">
        <v>2025</v>
      </c>
      <c r="Q294" s="66" t="s">
        <v>30</v>
      </c>
      <c r="R294" s="66"/>
      <c r="S294" s="66"/>
      <c r="T294" s="80">
        <v>0.02</v>
      </c>
      <c r="U294" s="71" t="s">
        <v>698</v>
      </c>
    </row>
    <row r="295" spans="1:21" ht="96.6">
      <c r="A295" s="93">
        <v>77</v>
      </c>
      <c r="B295" s="71" t="s">
        <v>694</v>
      </c>
      <c r="C295" s="66" t="s">
        <v>292</v>
      </c>
      <c r="D295" s="66" t="s">
        <v>23</v>
      </c>
      <c r="E295" s="81">
        <v>20240214000189</v>
      </c>
      <c r="F295" s="71" t="s">
        <v>699</v>
      </c>
      <c r="G295" s="66" t="s">
        <v>700</v>
      </c>
      <c r="H295" s="66">
        <v>5.4</v>
      </c>
      <c r="I295" s="66" t="s">
        <v>26</v>
      </c>
      <c r="J295" s="66" t="s">
        <v>55</v>
      </c>
      <c r="K295" s="2">
        <f>+M295</f>
        <v>43964136915</v>
      </c>
      <c r="L295" s="2">
        <v>0</v>
      </c>
      <c r="M295" s="2">
        <v>43964136915</v>
      </c>
      <c r="N295" s="2" t="s">
        <v>98</v>
      </c>
      <c r="O295" s="2" t="s">
        <v>62</v>
      </c>
      <c r="P295" s="66">
        <v>2024</v>
      </c>
      <c r="Q295" s="66" t="s">
        <v>99</v>
      </c>
      <c r="R295" s="66"/>
      <c r="S295" s="66"/>
      <c r="T295" s="80">
        <v>0</v>
      </c>
      <c r="U295" s="71" t="s">
        <v>701</v>
      </c>
    </row>
    <row r="296" spans="1:21" ht="27.6" hidden="1">
      <c r="A296" s="93"/>
      <c r="B296" s="71" t="s">
        <v>694</v>
      </c>
      <c r="C296" s="66" t="s">
        <v>292</v>
      </c>
      <c r="D296" s="66" t="s">
        <v>23</v>
      </c>
      <c r="E296" s="81">
        <v>4600016558</v>
      </c>
      <c r="F296" s="71" t="s">
        <v>702</v>
      </c>
      <c r="G296" s="66" t="s">
        <v>399</v>
      </c>
      <c r="H296" s="66">
        <v>0.5</v>
      </c>
      <c r="I296" s="66" t="s">
        <v>106</v>
      </c>
      <c r="J296" s="66" t="s">
        <v>55</v>
      </c>
      <c r="K296" s="2">
        <v>3056491448</v>
      </c>
      <c r="L296" s="2">
        <v>0</v>
      </c>
      <c r="M296" s="2">
        <f>+K296</f>
        <v>3056491448</v>
      </c>
      <c r="N296" s="2" t="s">
        <v>28</v>
      </c>
      <c r="O296" s="2" t="s">
        <v>690</v>
      </c>
      <c r="P296" s="66">
        <v>2023</v>
      </c>
      <c r="Q296" s="66" t="s">
        <v>52</v>
      </c>
      <c r="R296" s="66"/>
      <c r="S296" s="66"/>
      <c r="T296" s="80">
        <v>1</v>
      </c>
      <c r="U296" s="71" t="s">
        <v>81</v>
      </c>
    </row>
    <row r="297" spans="1:21" ht="13.9">
      <c r="A297" s="93"/>
      <c r="B297" s="71" t="s">
        <v>694</v>
      </c>
      <c r="C297" s="66" t="s">
        <v>292</v>
      </c>
      <c r="D297" s="66" t="s">
        <v>42</v>
      </c>
      <c r="E297" s="81" t="s">
        <v>703</v>
      </c>
      <c r="F297" s="71" t="s">
        <v>704</v>
      </c>
      <c r="G297" s="66" t="s">
        <v>76</v>
      </c>
      <c r="H297" s="66">
        <v>1</v>
      </c>
      <c r="I297" s="66" t="s">
        <v>106</v>
      </c>
      <c r="J297" s="66" t="s">
        <v>55</v>
      </c>
      <c r="K297" s="2">
        <v>350000000</v>
      </c>
      <c r="L297" s="2">
        <v>2111260818</v>
      </c>
      <c r="M297" s="69">
        <f>+L297+K297</f>
        <v>2461260818</v>
      </c>
      <c r="N297" s="71" t="s">
        <v>73</v>
      </c>
      <c r="O297" s="71" t="s">
        <v>51</v>
      </c>
      <c r="P297" s="66">
        <v>2024</v>
      </c>
      <c r="Q297" s="66" t="s">
        <v>52</v>
      </c>
      <c r="R297" s="66"/>
      <c r="S297" s="66"/>
      <c r="T297" s="80">
        <v>1</v>
      </c>
      <c r="U297" s="71" t="s">
        <v>69</v>
      </c>
    </row>
    <row r="298" spans="1:21" ht="27.6">
      <c r="A298" s="93">
        <v>78</v>
      </c>
      <c r="B298" s="71" t="s">
        <v>705</v>
      </c>
      <c r="C298" s="66" t="s">
        <v>181</v>
      </c>
      <c r="D298" s="66" t="s">
        <v>23</v>
      </c>
      <c r="E298" s="81"/>
      <c r="F298" s="71" t="s">
        <v>101</v>
      </c>
      <c r="G298" s="71" t="s">
        <v>706</v>
      </c>
      <c r="H298" s="71" t="s">
        <v>707</v>
      </c>
      <c r="I298" s="71"/>
      <c r="J298" s="71"/>
      <c r="K298" s="79">
        <f>1530782644*58.65</f>
        <v>89780402070.599991</v>
      </c>
      <c r="L298" s="79">
        <v>0</v>
      </c>
      <c r="M298" s="69">
        <f>+K298</f>
        <v>89780402070.599991</v>
      </c>
      <c r="N298" s="71" t="s">
        <v>28</v>
      </c>
      <c r="O298" s="71" t="s">
        <v>96</v>
      </c>
      <c r="P298" s="66">
        <v>2025</v>
      </c>
      <c r="Q298" s="66" t="s">
        <v>30</v>
      </c>
      <c r="R298" s="85"/>
      <c r="S298" s="87"/>
      <c r="T298" s="80"/>
      <c r="U298" s="71" t="s">
        <v>708</v>
      </c>
    </row>
    <row r="299" spans="1:21" ht="13.9">
      <c r="A299" s="93"/>
      <c r="B299" s="71" t="s">
        <v>705</v>
      </c>
      <c r="C299" s="66" t="s">
        <v>181</v>
      </c>
      <c r="D299" s="66" t="s">
        <v>42</v>
      </c>
      <c r="E299" s="81" t="s">
        <v>709</v>
      </c>
      <c r="F299" s="71" t="s">
        <v>710</v>
      </c>
      <c r="G299" s="71">
        <v>0.1</v>
      </c>
      <c r="H299" s="71">
        <v>0.1</v>
      </c>
      <c r="I299" s="71"/>
      <c r="J299" s="71"/>
      <c r="K299" s="79">
        <v>122487624</v>
      </c>
      <c r="L299" s="79">
        <v>17392631</v>
      </c>
      <c r="M299" s="69">
        <f>+K299+L299</f>
        <v>139880255</v>
      </c>
      <c r="N299" s="71" t="s">
        <v>28</v>
      </c>
      <c r="O299" s="71" t="s">
        <v>51</v>
      </c>
      <c r="P299" s="66">
        <v>2025</v>
      </c>
      <c r="Q299" s="66" t="s">
        <v>30</v>
      </c>
      <c r="R299" s="66"/>
      <c r="S299" s="66"/>
      <c r="T299" s="80">
        <v>0</v>
      </c>
      <c r="U299" s="71"/>
    </row>
    <row r="300" spans="1:21" ht="13.9">
      <c r="A300" s="93"/>
      <c r="B300" s="71" t="s">
        <v>705</v>
      </c>
      <c r="C300" s="66" t="s">
        <v>181</v>
      </c>
      <c r="D300" s="66" t="s">
        <v>42</v>
      </c>
      <c r="E300" s="81" t="s">
        <v>711</v>
      </c>
      <c r="F300" s="71" t="s">
        <v>80</v>
      </c>
      <c r="G300" s="66" t="s">
        <v>399</v>
      </c>
      <c r="H300" s="66">
        <v>0.5</v>
      </c>
      <c r="I300" s="66"/>
      <c r="J300" s="66"/>
      <c r="K300" s="2">
        <v>174988881</v>
      </c>
      <c r="L300" s="69">
        <v>427630530</v>
      </c>
      <c r="M300" s="69">
        <f>+K300+L300</f>
        <v>602619411</v>
      </c>
      <c r="N300" s="71" t="s">
        <v>73</v>
      </c>
      <c r="O300" s="71" t="s">
        <v>51</v>
      </c>
      <c r="P300" s="66">
        <v>2024</v>
      </c>
      <c r="Q300" s="66" t="s">
        <v>52</v>
      </c>
      <c r="R300" s="66"/>
      <c r="S300" s="66"/>
      <c r="T300" s="80">
        <v>0.99</v>
      </c>
      <c r="U300" s="71" t="s">
        <v>712</v>
      </c>
    </row>
    <row r="301" spans="1:21" ht="13.9">
      <c r="A301" s="104"/>
      <c r="B301" s="71" t="s">
        <v>640</v>
      </c>
      <c r="C301" s="66" t="s">
        <v>41</v>
      </c>
      <c r="D301" s="66" t="s">
        <v>42</v>
      </c>
      <c r="E301" s="81" t="s">
        <v>713</v>
      </c>
      <c r="F301" s="71" t="s">
        <v>75</v>
      </c>
      <c r="G301" s="71" t="s">
        <v>72</v>
      </c>
      <c r="H301" s="71">
        <v>0.3</v>
      </c>
      <c r="I301" s="71"/>
      <c r="J301" s="71"/>
      <c r="K301" s="69">
        <v>105000000</v>
      </c>
      <c r="L301" s="69">
        <v>178629412</v>
      </c>
      <c r="M301" s="2">
        <f>+K301+L301</f>
        <v>283629412</v>
      </c>
      <c r="N301" s="71" t="s">
        <v>73</v>
      </c>
      <c r="O301" s="71" t="s">
        <v>51</v>
      </c>
      <c r="P301" s="66">
        <v>2025</v>
      </c>
      <c r="Q301" s="66" t="s">
        <v>30</v>
      </c>
      <c r="R301" s="66"/>
      <c r="S301" s="66"/>
      <c r="T301" s="80">
        <v>0.5</v>
      </c>
      <c r="U301" s="71"/>
    </row>
    <row r="302" spans="1:21" ht="13.9">
      <c r="A302" s="100"/>
      <c r="B302" s="71" t="s">
        <v>640</v>
      </c>
      <c r="C302" s="66" t="s">
        <v>41</v>
      </c>
      <c r="D302" s="66" t="s">
        <v>42</v>
      </c>
      <c r="E302" s="81" t="s">
        <v>714</v>
      </c>
      <c r="F302" s="71" t="s">
        <v>80</v>
      </c>
      <c r="G302" s="66" t="s">
        <v>76</v>
      </c>
      <c r="H302" s="66">
        <v>1</v>
      </c>
      <c r="I302" s="66"/>
      <c r="J302" s="66"/>
      <c r="K302" s="2">
        <v>347515221</v>
      </c>
      <c r="L302" s="69">
        <v>613537414</v>
      </c>
      <c r="M302" s="69">
        <f>+K302+L302</f>
        <v>961052635</v>
      </c>
      <c r="N302" s="71" t="s">
        <v>73</v>
      </c>
      <c r="O302" s="71" t="s">
        <v>51</v>
      </c>
      <c r="P302" s="66">
        <v>2024</v>
      </c>
      <c r="Q302" s="66" t="s">
        <v>38</v>
      </c>
      <c r="R302" s="66"/>
      <c r="S302" s="66"/>
      <c r="T302" s="80">
        <v>1</v>
      </c>
      <c r="U302" s="71" t="s">
        <v>69</v>
      </c>
    </row>
    <row r="303" spans="1:21" ht="27.6" hidden="1">
      <c r="A303" s="99">
        <v>80</v>
      </c>
      <c r="B303" s="71" t="s">
        <v>715</v>
      </c>
      <c r="C303" s="66" t="s">
        <v>41</v>
      </c>
      <c r="D303" s="66" t="s">
        <v>23</v>
      </c>
      <c r="E303" s="81" t="s">
        <v>716</v>
      </c>
      <c r="F303" s="71" t="s">
        <v>717</v>
      </c>
      <c r="G303" s="66" t="s">
        <v>718</v>
      </c>
      <c r="H303" s="66">
        <v>9.3230000000000004</v>
      </c>
      <c r="I303" s="66"/>
      <c r="J303" s="66"/>
      <c r="K303" s="2">
        <v>69903825730</v>
      </c>
      <c r="L303" s="69">
        <v>0</v>
      </c>
      <c r="M303" s="69">
        <v>69903825730</v>
      </c>
      <c r="N303" s="71" t="s">
        <v>220</v>
      </c>
      <c r="O303" s="71" t="s">
        <v>96</v>
      </c>
      <c r="P303" s="66">
        <v>2023</v>
      </c>
      <c r="Q303" s="66"/>
      <c r="R303" s="66"/>
      <c r="S303" s="66"/>
      <c r="T303" s="70">
        <v>1</v>
      </c>
      <c r="U303" s="71" t="s">
        <v>69</v>
      </c>
    </row>
    <row r="304" spans="1:21" ht="13.9">
      <c r="A304" s="104"/>
      <c r="B304" s="71" t="s">
        <v>719</v>
      </c>
      <c r="C304" s="66" t="s">
        <v>41</v>
      </c>
      <c r="D304" s="66" t="s">
        <v>42</v>
      </c>
      <c r="E304" s="81" t="s">
        <v>720</v>
      </c>
      <c r="F304" s="71" t="s">
        <v>75</v>
      </c>
      <c r="G304" s="71" t="s">
        <v>399</v>
      </c>
      <c r="H304" s="71">
        <v>0.5</v>
      </c>
      <c r="I304" s="71"/>
      <c r="J304" s="71"/>
      <c r="K304" s="2">
        <v>175000000</v>
      </c>
      <c r="L304" s="69">
        <v>373696761</v>
      </c>
      <c r="M304" s="69">
        <f>+K304+L304</f>
        <v>548696761</v>
      </c>
      <c r="N304" s="71" t="s">
        <v>73</v>
      </c>
      <c r="O304" s="71" t="s">
        <v>51</v>
      </c>
      <c r="P304" s="66">
        <v>2025</v>
      </c>
      <c r="Q304" s="66" t="s">
        <v>30</v>
      </c>
      <c r="R304" s="66"/>
      <c r="S304" s="66"/>
      <c r="T304" s="70">
        <v>0.6</v>
      </c>
      <c r="U304" s="71"/>
    </row>
    <row r="305" spans="1:21" ht="81.599999999999994" hidden="1" customHeight="1">
      <c r="A305" s="99">
        <v>81</v>
      </c>
      <c r="B305" s="71" t="s">
        <v>721</v>
      </c>
      <c r="C305" s="66" t="s">
        <v>83</v>
      </c>
      <c r="D305" s="66" t="s">
        <v>66</v>
      </c>
      <c r="E305" s="81"/>
      <c r="F305" s="71" t="s">
        <v>722</v>
      </c>
      <c r="G305" s="66" t="s">
        <v>723</v>
      </c>
      <c r="H305" s="66">
        <v>1.37</v>
      </c>
      <c r="I305" s="66"/>
      <c r="J305" s="66"/>
      <c r="K305" s="2">
        <v>3143732252</v>
      </c>
      <c r="L305" s="2">
        <v>657952772</v>
      </c>
      <c r="M305" s="69">
        <f>+K305+L305</f>
        <v>3801685024</v>
      </c>
      <c r="N305" s="71" t="s">
        <v>330</v>
      </c>
      <c r="O305" s="71" t="s">
        <v>51</v>
      </c>
      <c r="P305" s="66">
        <v>2023</v>
      </c>
      <c r="Q305" s="66"/>
      <c r="R305" s="66"/>
      <c r="S305" s="66"/>
      <c r="T305" s="40">
        <v>0.8</v>
      </c>
      <c r="U305" s="71" t="s">
        <v>30</v>
      </c>
    </row>
    <row r="306" spans="1:21" ht="81.599999999999994" customHeight="1">
      <c r="A306" s="104"/>
      <c r="B306" s="71" t="s">
        <v>721</v>
      </c>
      <c r="C306" s="66" t="s">
        <v>83</v>
      </c>
      <c r="D306" s="66" t="s">
        <v>23</v>
      </c>
      <c r="E306" s="81">
        <v>4600017681</v>
      </c>
      <c r="F306" s="71" t="s">
        <v>208</v>
      </c>
      <c r="G306" s="71" t="s">
        <v>724</v>
      </c>
      <c r="H306" s="71">
        <v>27.9</v>
      </c>
      <c r="I306" s="71"/>
      <c r="J306" s="71"/>
      <c r="K306" s="2">
        <v>37102076</v>
      </c>
      <c r="L306" s="2">
        <v>0</v>
      </c>
      <c r="M306" s="69">
        <f>+K306</f>
        <v>37102076</v>
      </c>
      <c r="N306" s="71" t="s">
        <v>330</v>
      </c>
      <c r="O306" s="71" t="s">
        <v>51</v>
      </c>
      <c r="P306" s="66">
        <v>2024</v>
      </c>
      <c r="Q306" s="66"/>
      <c r="R306" s="66"/>
      <c r="S306" s="66"/>
      <c r="T306" s="70">
        <v>1</v>
      </c>
      <c r="U306" s="71" t="s">
        <v>69</v>
      </c>
    </row>
    <row r="307" spans="1:21" ht="81.599999999999994" customHeight="1">
      <c r="A307" s="104"/>
      <c r="B307" s="71" t="s">
        <v>721</v>
      </c>
      <c r="C307" s="66" t="s">
        <v>83</v>
      </c>
      <c r="D307" s="66" t="s">
        <v>23</v>
      </c>
      <c r="E307" s="81"/>
      <c r="F307" s="71" t="s">
        <v>101</v>
      </c>
      <c r="G307" s="71" t="s">
        <v>725</v>
      </c>
      <c r="H307" s="71" t="s">
        <v>726</v>
      </c>
      <c r="I307" s="71"/>
      <c r="J307" s="71"/>
      <c r="K307" s="3">
        <f>1341963493*22.39</f>
        <v>30046562608.27</v>
      </c>
      <c r="L307" s="79">
        <v>0</v>
      </c>
      <c r="M307" s="69">
        <f>+K307</f>
        <v>30046562608.27</v>
      </c>
      <c r="N307" s="71" t="s">
        <v>28</v>
      </c>
      <c r="O307" s="71" t="s">
        <v>96</v>
      </c>
      <c r="P307" s="66">
        <v>2025</v>
      </c>
      <c r="Q307" s="66" t="s">
        <v>30</v>
      </c>
      <c r="R307" s="85"/>
      <c r="S307" s="87"/>
      <c r="T307" s="80"/>
      <c r="U307" s="71" t="s">
        <v>708</v>
      </c>
    </row>
    <row r="308" spans="1:21" ht="40.9" customHeight="1">
      <c r="A308" s="100"/>
      <c r="B308" s="71" t="s">
        <v>721</v>
      </c>
      <c r="C308" s="66" t="s">
        <v>83</v>
      </c>
      <c r="D308" s="66" t="s">
        <v>42</v>
      </c>
      <c r="E308" s="81" t="s">
        <v>146</v>
      </c>
      <c r="F308" s="71" t="s">
        <v>80</v>
      </c>
      <c r="G308" s="66" t="s">
        <v>727</v>
      </c>
      <c r="H308" s="66">
        <v>0.94799999999999995</v>
      </c>
      <c r="I308" s="66"/>
      <c r="J308" s="66"/>
      <c r="K308" s="2">
        <v>260127585</v>
      </c>
      <c r="L308" s="69">
        <v>340587635</v>
      </c>
      <c r="M308" s="69">
        <v>825715220</v>
      </c>
      <c r="N308" s="71" t="s">
        <v>147</v>
      </c>
      <c r="O308" s="71" t="s">
        <v>51</v>
      </c>
      <c r="P308" s="66">
        <v>2024</v>
      </c>
      <c r="Q308" s="66" t="s">
        <v>30</v>
      </c>
      <c r="R308" s="66"/>
      <c r="S308" s="66"/>
      <c r="T308" s="70">
        <v>0.8</v>
      </c>
      <c r="U308" s="66"/>
    </row>
    <row r="309" spans="1:21" ht="126" customHeight="1">
      <c r="A309" s="66">
        <v>82</v>
      </c>
      <c r="B309" s="71" t="s">
        <v>728</v>
      </c>
      <c r="C309" s="71" t="s">
        <v>336</v>
      </c>
      <c r="D309" s="71" t="s">
        <v>23</v>
      </c>
      <c r="E309" s="45" t="s">
        <v>729</v>
      </c>
      <c r="F309" s="71" t="s">
        <v>436</v>
      </c>
      <c r="G309" s="71" t="s">
        <v>730</v>
      </c>
      <c r="H309" s="71">
        <v>25</v>
      </c>
      <c r="I309" s="71" t="s">
        <v>26</v>
      </c>
      <c r="J309" s="71" t="s">
        <v>27</v>
      </c>
      <c r="K309" s="79">
        <f>+'Estabilización datos '!G6*25</f>
        <v>24748441324.004997</v>
      </c>
      <c r="L309" s="79">
        <v>0</v>
      </c>
      <c r="M309" s="69">
        <f>+K309</f>
        <v>24748441324.004997</v>
      </c>
      <c r="N309" s="71" t="s">
        <v>28</v>
      </c>
      <c r="O309" s="71" t="s">
        <v>96</v>
      </c>
      <c r="P309" s="66">
        <v>2025</v>
      </c>
      <c r="Q309" s="66" t="s">
        <v>30</v>
      </c>
      <c r="R309" s="85"/>
      <c r="S309" s="87"/>
      <c r="T309" s="80"/>
      <c r="U309" s="71" t="s">
        <v>154</v>
      </c>
    </row>
    <row r="310" spans="1:21" ht="40.9" customHeight="1">
      <c r="A310" s="66">
        <v>83</v>
      </c>
      <c r="B310" s="71" t="s">
        <v>731</v>
      </c>
      <c r="C310" s="71" t="s">
        <v>336</v>
      </c>
      <c r="D310" s="71" t="s">
        <v>23</v>
      </c>
      <c r="E310" s="101">
        <v>4600018191</v>
      </c>
      <c r="F310" s="110" t="s">
        <v>732</v>
      </c>
      <c r="G310" s="93" t="s">
        <v>733</v>
      </c>
      <c r="H310" s="93">
        <v>13.3</v>
      </c>
      <c r="I310" s="99" t="s">
        <v>26</v>
      </c>
      <c r="J310" s="99" t="s">
        <v>541</v>
      </c>
      <c r="K310" s="97">
        <f>806037831+182039258</f>
        <v>988077089</v>
      </c>
      <c r="L310" s="97">
        <v>0</v>
      </c>
      <c r="M310" s="97">
        <f>+K310</f>
        <v>988077089</v>
      </c>
      <c r="N310" s="94" t="s">
        <v>28</v>
      </c>
      <c r="O310" s="94" t="s">
        <v>734</v>
      </c>
      <c r="P310" s="93">
        <v>2025</v>
      </c>
      <c r="Q310" s="94" t="s">
        <v>30</v>
      </c>
      <c r="R310" s="71"/>
      <c r="S310" s="71"/>
      <c r="T310" s="93"/>
      <c r="U310" s="93" t="s">
        <v>541</v>
      </c>
    </row>
    <row r="311" spans="1:21" ht="40.9" hidden="1" customHeight="1">
      <c r="A311" s="93">
        <v>84</v>
      </c>
      <c r="B311" s="71" t="s">
        <v>735</v>
      </c>
      <c r="C311" s="71" t="s">
        <v>336</v>
      </c>
      <c r="D311" s="71" t="s">
        <v>23</v>
      </c>
      <c r="E311" s="102"/>
      <c r="F311" s="94"/>
      <c r="G311" s="93"/>
      <c r="H311" s="93"/>
      <c r="I311" s="100"/>
      <c r="J311" s="100"/>
      <c r="K311" s="97"/>
      <c r="L311" s="97"/>
      <c r="M311" s="97"/>
      <c r="N311" s="94"/>
      <c r="O311" s="94"/>
      <c r="P311" s="93"/>
      <c r="Q311" s="94"/>
      <c r="R311" s="71"/>
      <c r="S311" s="71"/>
      <c r="T311" s="93"/>
      <c r="U311" s="93"/>
    </row>
    <row r="312" spans="1:21" ht="40.9" hidden="1" customHeight="1">
      <c r="A312" s="93"/>
      <c r="B312" s="71" t="s">
        <v>731</v>
      </c>
      <c r="C312" s="71" t="s">
        <v>336</v>
      </c>
      <c r="D312" s="71" t="s">
        <v>23</v>
      </c>
      <c r="E312" s="101">
        <v>4600009793</v>
      </c>
      <c r="F312" s="94" t="s">
        <v>736</v>
      </c>
      <c r="G312" s="93" t="s">
        <v>737</v>
      </c>
      <c r="H312" s="93">
        <v>31.12</v>
      </c>
      <c r="I312" s="99" t="s">
        <v>26</v>
      </c>
      <c r="J312" s="99" t="s">
        <v>55</v>
      </c>
      <c r="K312" s="97">
        <f>+M312</f>
        <v>73907566008</v>
      </c>
      <c r="L312" s="97">
        <v>0</v>
      </c>
      <c r="M312" s="97">
        <v>73907566008</v>
      </c>
      <c r="N312" s="94" t="s">
        <v>738</v>
      </c>
      <c r="O312" s="94" t="s">
        <v>96</v>
      </c>
      <c r="P312" s="93">
        <v>2019</v>
      </c>
      <c r="Q312" s="94" t="s">
        <v>52</v>
      </c>
      <c r="R312" s="71"/>
      <c r="S312" s="71"/>
      <c r="T312" s="111">
        <v>1</v>
      </c>
      <c r="U312" s="93" t="s">
        <v>69</v>
      </c>
    </row>
    <row r="313" spans="1:21" ht="40.9" hidden="1" customHeight="1">
      <c r="A313" s="93"/>
      <c r="B313" s="71" t="s">
        <v>735</v>
      </c>
      <c r="C313" s="71" t="s">
        <v>336</v>
      </c>
      <c r="D313" s="71" t="s">
        <v>23</v>
      </c>
      <c r="E313" s="102"/>
      <c r="F313" s="94"/>
      <c r="G313" s="93"/>
      <c r="H313" s="93"/>
      <c r="I313" s="100"/>
      <c r="J313" s="100"/>
      <c r="K313" s="97"/>
      <c r="L313" s="97"/>
      <c r="M313" s="97"/>
      <c r="N313" s="94"/>
      <c r="O313" s="94"/>
      <c r="P313" s="93"/>
      <c r="Q313" s="94"/>
      <c r="R313" s="71"/>
      <c r="S313" s="71"/>
      <c r="T313" s="111"/>
      <c r="U313" s="93"/>
    </row>
    <row r="314" spans="1:21" ht="40.9" customHeight="1">
      <c r="A314" s="93"/>
      <c r="B314" s="71" t="s">
        <v>735</v>
      </c>
      <c r="C314" s="71" t="s">
        <v>336</v>
      </c>
      <c r="D314" s="71" t="s">
        <v>42</v>
      </c>
      <c r="E314" s="45" t="s">
        <v>739</v>
      </c>
      <c r="F314" s="71" t="s">
        <v>80</v>
      </c>
      <c r="G314" s="66" t="s">
        <v>76</v>
      </c>
      <c r="H314" s="66">
        <v>1</v>
      </c>
      <c r="I314" s="66" t="s">
        <v>88</v>
      </c>
      <c r="J314" s="66"/>
      <c r="K314" s="2">
        <v>350000000</v>
      </c>
      <c r="L314" s="69">
        <v>750928100</v>
      </c>
      <c r="M314" s="69">
        <f>+K314+L314</f>
        <v>1100928100</v>
      </c>
      <c r="N314" s="71" t="s">
        <v>73</v>
      </c>
      <c r="O314" s="71" t="s">
        <v>51</v>
      </c>
      <c r="P314" s="66">
        <v>2024</v>
      </c>
      <c r="Q314" s="66" t="s">
        <v>52</v>
      </c>
      <c r="R314" s="66"/>
      <c r="S314" s="66"/>
      <c r="T314" s="80">
        <v>1</v>
      </c>
      <c r="U314" s="71" t="s">
        <v>69</v>
      </c>
    </row>
    <row r="315" spans="1:21" ht="40.9" customHeight="1">
      <c r="A315" s="93"/>
      <c r="B315" s="71" t="s">
        <v>735</v>
      </c>
      <c r="C315" s="71" t="s">
        <v>336</v>
      </c>
      <c r="D315" s="71" t="s">
        <v>42</v>
      </c>
      <c r="E315" s="45" t="s">
        <v>740</v>
      </c>
      <c r="F315" s="71" t="s">
        <v>265</v>
      </c>
      <c r="G315" s="66" t="s">
        <v>141</v>
      </c>
      <c r="H315" s="66">
        <v>0.2</v>
      </c>
      <c r="I315" s="66" t="s">
        <v>106</v>
      </c>
      <c r="J315" s="66"/>
      <c r="K315" s="2">
        <v>70000000</v>
      </c>
      <c r="L315" s="69">
        <v>367622813</v>
      </c>
      <c r="M315" s="69">
        <f>+K315+L315</f>
        <v>437622813</v>
      </c>
      <c r="N315" s="71" t="s">
        <v>73</v>
      </c>
      <c r="O315" s="71" t="s">
        <v>51</v>
      </c>
      <c r="P315" s="66">
        <v>2025</v>
      </c>
      <c r="Q315" s="66" t="s">
        <v>30</v>
      </c>
      <c r="R315" s="66"/>
      <c r="S315" s="66"/>
      <c r="T315" s="80">
        <v>0.65</v>
      </c>
      <c r="U315" s="71"/>
    </row>
    <row r="316" spans="1:21" ht="40.9" customHeight="1">
      <c r="A316" s="93"/>
      <c r="B316" s="71" t="s">
        <v>735</v>
      </c>
      <c r="C316" s="71" t="s">
        <v>336</v>
      </c>
      <c r="D316" s="71" t="s">
        <v>42</v>
      </c>
      <c r="E316" s="45">
        <v>2025003050011</v>
      </c>
      <c r="F316" s="71" t="s">
        <v>75</v>
      </c>
      <c r="G316" s="66" t="s">
        <v>105</v>
      </c>
      <c r="H316" s="66">
        <v>2</v>
      </c>
      <c r="I316" s="66" t="s">
        <v>88</v>
      </c>
      <c r="J316" s="66"/>
      <c r="K316" s="69">
        <f>+M316*80%</f>
        <v>3390006118.4000001</v>
      </c>
      <c r="L316" s="69">
        <f>+M316*20%</f>
        <v>847501529.60000002</v>
      </c>
      <c r="M316" s="2">
        <v>4237507648</v>
      </c>
      <c r="N316" s="2" t="s">
        <v>37</v>
      </c>
      <c r="O316" s="2" t="s">
        <v>45</v>
      </c>
      <c r="P316" s="66">
        <v>2025</v>
      </c>
      <c r="Q316" s="66" t="s">
        <v>38</v>
      </c>
      <c r="R316" s="66"/>
      <c r="S316" s="66"/>
      <c r="T316" s="80">
        <v>1</v>
      </c>
      <c r="U316" s="71"/>
    </row>
    <row r="317" spans="1:21" ht="40.9" hidden="1" customHeight="1">
      <c r="A317" s="72"/>
      <c r="B317" s="71" t="s">
        <v>741</v>
      </c>
      <c r="C317" s="66" t="s">
        <v>90</v>
      </c>
      <c r="D317" s="66" t="s">
        <v>42</v>
      </c>
      <c r="E317" s="81">
        <v>2023000040003</v>
      </c>
      <c r="F317" s="71" t="s">
        <v>91</v>
      </c>
      <c r="G317" s="66" t="s">
        <v>742</v>
      </c>
      <c r="H317" s="66">
        <v>13.21</v>
      </c>
      <c r="I317" s="66"/>
      <c r="J317" s="66"/>
      <c r="K317" s="2">
        <v>22647234828</v>
      </c>
      <c r="L317" s="69">
        <v>0</v>
      </c>
      <c r="M317" s="2">
        <f>+K317</f>
        <v>22647234828</v>
      </c>
      <c r="N317" s="2" t="s">
        <v>37</v>
      </c>
      <c r="O317" s="2"/>
      <c r="P317" s="66">
        <v>2020</v>
      </c>
      <c r="Q317" s="66" t="s">
        <v>30</v>
      </c>
      <c r="R317" s="66"/>
      <c r="S317" s="66"/>
      <c r="T317" s="70">
        <v>0.67749999999999999</v>
      </c>
      <c r="U317" s="71" t="s">
        <v>30</v>
      </c>
    </row>
    <row r="318" spans="1:21" ht="40.9" customHeight="1">
      <c r="A318" s="72"/>
      <c r="B318" s="71" t="s">
        <v>741</v>
      </c>
      <c r="C318" s="71" t="s">
        <v>90</v>
      </c>
      <c r="D318" s="71"/>
      <c r="E318" s="45"/>
      <c r="F318" s="71" t="s">
        <v>160</v>
      </c>
      <c r="G318" s="66" t="s">
        <v>743</v>
      </c>
      <c r="H318" s="66">
        <v>6</v>
      </c>
      <c r="I318" s="66"/>
      <c r="J318" s="66"/>
      <c r="K318" s="69"/>
      <c r="L318" s="69"/>
      <c r="M318" s="2"/>
      <c r="N318" s="2" t="s">
        <v>98</v>
      </c>
      <c r="O318" s="2" t="s">
        <v>45</v>
      </c>
      <c r="P318" s="66">
        <v>2025</v>
      </c>
      <c r="Q318" s="66" t="s">
        <v>30</v>
      </c>
      <c r="R318" s="66"/>
      <c r="S318" s="66"/>
      <c r="T318" s="80"/>
      <c r="U318" s="71" t="s">
        <v>163</v>
      </c>
    </row>
    <row r="319" spans="1:21" ht="40.9" hidden="1" customHeight="1">
      <c r="A319" s="99">
        <v>85</v>
      </c>
      <c r="B319" s="71" t="s">
        <v>741</v>
      </c>
      <c r="C319" s="66" t="s">
        <v>90</v>
      </c>
      <c r="D319" s="66" t="s">
        <v>42</v>
      </c>
      <c r="E319" s="81">
        <v>2023000040003</v>
      </c>
      <c r="F319" s="71" t="s">
        <v>744</v>
      </c>
      <c r="G319" s="66" t="s">
        <v>745</v>
      </c>
      <c r="H319" s="66">
        <v>7.57</v>
      </c>
      <c r="I319" s="66"/>
      <c r="J319" s="66"/>
      <c r="K319" s="2"/>
      <c r="L319" s="69"/>
      <c r="M319" s="69">
        <v>39372611491</v>
      </c>
      <c r="N319" s="66" t="s">
        <v>37</v>
      </c>
      <c r="O319" s="2" t="s">
        <v>45</v>
      </c>
      <c r="P319" s="66">
        <v>2023</v>
      </c>
      <c r="Q319" s="66" t="s">
        <v>30</v>
      </c>
      <c r="R319" s="66"/>
      <c r="S319" s="66"/>
      <c r="T319" s="80"/>
      <c r="U319" s="71"/>
    </row>
    <row r="320" spans="1:21" ht="61.15" customHeight="1">
      <c r="A320" s="100"/>
      <c r="B320" s="71" t="s">
        <v>741</v>
      </c>
      <c r="C320" s="66" t="s">
        <v>90</v>
      </c>
      <c r="D320" s="66" t="s">
        <v>23</v>
      </c>
      <c r="E320" s="81"/>
      <c r="F320" s="71" t="s">
        <v>436</v>
      </c>
      <c r="G320" s="71" t="s">
        <v>746</v>
      </c>
      <c r="H320" s="71">
        <v>25</v>
      </c>
      <c r="I320" s="71"/>
      <c r="J320" s="71"/>
      <c r="K320" s="2">
        <f>1349225774*25</f>
        <v>33730644350</v>
      </c>
      <c r="L320" s="69">
        <v>0</v>
      </c>
      <c r="M320" s="69">
        <f>+K320</f>
        <v>33730644350</v>
      </c>
      <c r="N320" s="71" t="s">
        <v>28</v>
      </c>
      <c r="O320" s="71" t="s">
        <v>96</v>
      </c>
      <c r="P320" s="66">
        <v>2025</v>
      </c>
      <c r="Q320" s="66" t="s">
        <v>30</v>
      </c>
      <c r="R320" s="85"/>
      <c r="S320" s="87"/>
      <c r="T320" s="80"/>
      <c r="U320" s="71" t="s">
        <v>103</v>
      </c>
    </row>
    <row r="321" spans="1:21" ht="61.15" customHeight="1">
      <c r="A321" s="105">
        <v>86</v>
      </c>
      <c r="B321" s="71" t="s">
        <v>747</v>
      </c>
      <c r="C321" s="66" t="s">
        <v>22</v>
      </c>
      <c r="D321" s="66" t="s">
        <v>23</v>
      </c>
      <c r="E321" s="81"/>
      <c r="F321" s="71" t="s">
        <v>748</v>
      </c>
      <c r="G321" s="66" t="s">
        <v>162</v>
      </c>
      <c r="H321" s="66"/>
      <c r="I321" s="66"/>
      <c r="J321" s="66"/>
      <c r="K321" s="2">
        <v>17942000000</v>
      </c>
      <c r="L321" s="69" t="s">
        <v>162</v>
      </c>
      <c r="M321" s="69">
        <f>+K321</f>
        <v>17942000000</v>
      </c>
      <c r="N321" s="71" t="s">
        <v>330</v>
      </c>
      <c r="O321" s="71" t="s">
        <v>749</v>
      </c>
      <c r="P321" s="66">
        <v>2025</v>
      </c>
      <c r="Q321" s="66" t="s">
        <v>99</v>
      </c>
      <c r="R321" s="66"/>
      <c r="S321" s="66"/>
      <c r="T321" s="71" t="s">
        <v>750</v>
      </c>
      <c r="U321" s="66" t="s">
        <v>129</v>
      </c>
    </row>
    <row r="322" spans="1:21" ht="61.15" customHeight="1">
      <c r="A322" s="106"/>
      <c r="B322" s="66" t="s">
        <v>747</v>
      </c>
      <c r="C322" s="66" t="s">
        <v>22</v>
      </c>
      <c r="D322" s="66" t="s">
        <v>23</v>
      </c>
      <c r="E322" s="81"/>
      <c r="F322" s="71" t="s">
        <v>751</v>
      </c>
      <c r="G322" s="66">
        <v>0.8</v>
      </c>
      <c r="H322" s="66"/>
      <c r="I322" s="66"/>
      <c r="J322" s="66"/>
      <c r="K322" s="69">
        <v>125625498680</v>
      </c>
      <c r="L322" s="69">
        <v>0</v>
      </c>
      <c r="M322" s="69">
        <f>+K322</f>
        <v>125625498680</v>
      </c>
      <c r="N322" s="71" t="s">
        <v>28</v>
      </c>
      <c r="O322" s="71" t="s">
        <v>749</v>
      </c>
      <c r="P322" s="66">
        <v>2024</v>
      </c>
      <c r="Q322" s="66"/>
      <c r="R322" s="66"/>
      <c r="S322" s="66"/>
      <c r="T322" s="80">
        <v>0.98</v>
      </c>
      <c r="U322" s="66" t="s">
        <v>343</v>
      </c>
    </row>
    <row r="323" spans="1:21" ht="61.15" hidden="1" customHeight="1">
      <c r="A323" s="106"/>
      <c r="B323" s="66" t="s">
        <v>747</v>
      </c>
      <c r="C323" s="66" t="s">
        <v>22</v>
      </c>
      <c r="D323" s="66" t="s">
        <v>174</v>
      </c>
      <c r="E323" s="81">
        <v>2021003050047</v>
      </c>
      <c r="F323" s="71" t="s">
        <v>752</v>
      </c>
      <c r="G323" s="66" t="s">
        <v>753</v>
      </c>
      <c r="H323" s="66" t="s">
        <v>753</v>
      </c>
      <c r="I323" s="66"/>
      <c r="J323" s="66"/>
      <c r="K323" s="69">
        <v>13094513471</v>
      </c>
      <c r="L323" s="69">
        <v>8594513471</v>
      </c>
      <c r="M323" s="69">
        <f>+K323+L323</f>
        <v>21689026942</v>
      </c>
      <c r="N323" s="71" t="s">
        <v>37</v>
      </c>
      <c r="O323" s="71" t="s">
        <v>45</v>
      </c>
      <c r="P323" s="66">
        <v>2023</v>
      </c>
      <c r="Q323" s="66"/>
      <c r="R323" s="66"/>
      <c r="S323" s="66"/>
      <c r="T323" s="80">
        <v>0.92</v>
      </c>
      <c r="U323" s="66" t="s">
        <v>30</v>
      </c>
    </row>
    <row r="324" spans="1:21" ht="61.15" hidden="1" customHeight="1">
      <c r="A324" s="106"/>
      <c r="B324" s="66" t="s">
        <v>747</v>
      </c>
      <c r="C324" s="66" t="s">
        <v>22</v>
      </c>
      <c r="D324" s="66" t="s">
        <v>119</v>
      </c>
      <c r="E324" s="81">
        <v>2023003050019</v>
      </c>
      <c r="F324" s="71" t="s">
        <v>754</v>
      </c>
      <c r="G324" s="66">
        <v>20177.53</v>
      </c>
      <c r="H324" s="66">
        <v>20177.53</v>
      </c>
      <c r="I324" s="66"/>
      <c r="J324" s="66"/>
      <c r="K324" s="69">
        <v>10000000000</v>
      </c>
      <c r="L324" s="69">
        <v>9350941</v>
      </c>
      <c r="M324" s="69">
        <f>+L324+K324</f>
        <v>10009350941</v>
      </c>
      <c r="N324" s="71" t="s">
        <v>37</v>
      </c>
      <c r="O324" s="71" t="s">
        <v>45</v>
      </c>
      <c r="P324" s="66">
        <v>2022</v>
      </c>
      <c r="Q324" s="66"/>
      <c r="R324" s="66"/>
      <c r="S324" s="66"/>
      <c r="T324" s="80">
        <v>1</v>
      </c>
      <c r="U324" s="66" t="s">
        <v>69</v>
      </c>
    </row>
    <row r="325" spans="1:21" ht="93" customHeight="1">
      <c r="A325" s="104"/>
      <c r="B325" s="66" t="s">
        <v>747</v>
      </c>
      <c r="C325" s="66" t="s">
        <v>22</v>
      </c>
      <c r="D325" s="66" t="s">
        <v>23</v>
      </c>
      <c r="E325" s="81"/>
      <c r="F325" s="71" t="s">
        <v>755</v>
      </c>
      <c r="G325" s="66" t="s">
        <v>307</v>
      </c>
      <c r="H325" s="66">
        <v>12</v>
      </c>
      <c r="I325" s="66"/>
      <c r="J325" s="66"/>
      <c r="K325" s="69">
        <v>120011494537</v>
      </c>
      <c r="L325" s="69">
        <v>0</v>
      </c>
      <c r="M325" s="69">
        <f>+K325</f>
        <v>120011494537</v>
      </c>
      <c r="N325" s="71" t="s">
        <v>28</v>
      </c>
      <c r="O325" s="71" t="s">
        <v>749</v>
      </c>
      <c r="P325" s="66">
        <v>2025</v>
      </c>
      <c r="Q325" s="66"/>
      <c r="R325" s="66"/>
      <c r="S325" s="66"/>
      <c r="T325" s="80">
        <v>0.39</v>
      </c>
      <c r="U325" s="66" t="s">
        <v>343</v>
      </c>
    </row>
    <row r="326" spans="1:21" ht="61.15" customHeight="1">
      <c r="A326" s="104"/>
      <c r="B326" s="66" t="s">
        <v>747</v>
      </c>
      <c r="C326" s="66" t="s">
        <v>22</v>
      </c>
      <c r="D326" s="66" t="s">
        <v>23</v>
      </c>
      <c r="E326" s="81"/>
      <c r="F326" s="71" t="s">
        <v>756</v>
      </c>
      <c r="G326" s="66" t="s">
        <v>757</v>
      </c>
      <c r="H326" s="66">
        <v>6.3</v>
      </c>
      <c r="I326" s="66"/>
      <c r="J326" s="66"/>
      <c r="K326" s="69">
        <v>120000000000</v>
      </c>
      <c r="L326" s="69">
        <v>0</v>
      </c>
      <c r="M326" s="69">
        <f>+K326</f>
        <v>120000000000</v>
      </c>
      <c r="N326" s="71" t="s">
        <v>28</v>
      </c>
      <c r="O326" s="71" t="s">
        <v>749</v>
      </c>
      <c r="P326" s="66">
        <v>2025</v>
      </c>
      <c r="Q326" s="66"/>
      <c r="R326" s="66"/>
      <c r="S326" s="66"/>
      <c r="T326" s="80">
        <v>0.87</v>
      </c>
      <c r="U326" s="66" t="s">
        <v>30</v>
      </c>
    </row>
    <row r="327" spans="1:21" ht="61.15" customHeight="1">
      <c r="A327" s="106"/>
      <c r="B327" s="66" t="s">
        <v>747</v>
      </c>
      <c r="C327" s="66" t="s">
        <v>22</v>
      </c>
      <c r="D327" s="66" t="s">
        <v>174</v>
      </c>
      <c r="E327" s="81">
        <v>2025003050037</v>
      </c>
      <c r="F327" s="71" t="s">
        <v>758</v>
      </c>
      <c r="G327" s="71" t="s">
        <v>759</v>
      </c>
      <c r="H327" s="71" t="s">
        <v>759</v>
      </c>
      <c r="I327" s="71"/>
      <c r="J327" s="71"/>
      <c r="K327" s="69">
        <v>9769638546</v>
      </c>
      <c r="L327" s="69">
        <v>0</v>
      </c>
      <c r="M327" s="69">
        <f>+K327</f>
        <v>9769638546</v>
      </c>
      <c r="N327" s="71" t="s">
        <v>37</v>
      </c>
      <c r="O327" s="71" t="s">
        <v>29</v>
      </c>
      <c r="P327" s="66">
        <v>2026</v>
      </c>
      <c r="Q327" s="66" t="s">
        <v>99</v>
      </c>
      <c r="R327" s="66"/>
      <c r="S327" s="66"/>
      <c r="T327" s="80">
        <v>0</v>
      </c>
      <c r="U327" s="66" t="s">
        <v>370</v>
      </c>
    </row>
    <row r="328" spans="1:21" ht="61.15" customHeight="1">
      <c r="A328" s="106"/>
      <c r="B328" s="71" t="s">
        <v>747</v>
      </c>
      <c r="C328" s="66" t="s">
        <v>22</v>
      </c>
      <c r="D328" s="66" t="s">
        <v>23</v>
      </c>
      <c r="E328" s="81"/>
      <c r="F328" s="71" t="s">
        <v>760</v>
      </c>
      <c r="G328" s="66" t="s">
        <v>761</v>
      </c>
      <c r="H328" s="66">
        <v>14.9</v>
      </c>
      <c r="I328" s="66"/>
      <c r="J328" s="66"/>
      <c r="K328" s="69">
        <v>1123370798864</v>
      </c>
      <c r="L328" s="69" t="s">
        <v>162</v>
      </c>
      <c r="M328" s="69">
        <f>+K328</f>
        <v>1123370798864</v>
      </c>
      <c r="N328" s="71" t="s">
        <v>28</v>
      </c>
      <c r="O328" s="71" t="s">
        <v>749</v>
      </c>
      <c r="P328" s="66">
        <v>2024</v>
      </c>
      <c r="Q328" s="66"/>
      <c r="R328" s="66"/>
      <c r="S328" s="66"/>
      <c r="T328" s="80">
        <v>0.18</v>
      </c>
      <c r="U328" s="66" t="s">
        <v>30</v>
      </c>
    </row>
    <row r="329" spans="1:21" ht="61.15" customHeight="1">
      <c r="A329" s="106"/>
      <c r="B329" s="71" t="s">
        <v>747</v>
      </c>
      <c r="C329" s="66" t="s">
        <v>22</v>
      </c>
      <c r="D329" s="66" t="s">
        <v>42</v>
      </c>
      <c r="E329" s="81">
        <v>2025003050035</v>
      </c>
      <c r="F329" s="71" t="s">
        <v>80</v>
      </c>
      <c r="G329" s="66" t="s">
        <v>762</v>
      </c>
      <c r="H329" s="66">
        <v>2.65</v>
      </c>
      <c r="I329" s="66"/>
      <c r="J329" s="66"/>
      <c r="K329" s="69">
        <v>4361905540</v>
      </c>
      <c r="L329" s="69">
        <f>+M329-K329</f>
        <v>1090476385</v>
      </c>
      <c r="M329" s="69">
        <v>5452381925</v>
      </c>
      <c r="N329" s="2" t="s">
        <v>37</v>
      </c>
      <c r="O329" s="2" t="s">
        <v>45</v>
      </c>
      <c r="P329" s="66">
        <v>2025</v>
      </c>
      <c r="Q329" s="66" t="s">
        <v>99</v>
      </c>
      <c r="R329" s="66"/>
      <c r="S329" s="66"/>
      <c r="T329" s="66">
        <v>0</v>
      </c>
      <c r="U329" s="71"/>
    </row>
    <row r="330" spans="1:21" ht="13.9">
      <c r="A330" s="107"/>
      <c r="B330" s="71" t="s">
        <v>747</v>
      </c>
      <c r="C330" s="66" t="s">
        <v>22</v>
      </c>
      <c r="D330" s="66" t="s">
        <v>42</v>
      </c>
      <c r="E330" s="81" t="s">
        <v>763</v>
      </c>
      <c r="F330" s="71" t="s">
        <v>80</v>
      </c>
      <c r="G330" s="66" t="s">
        <v>764</v>
      </c>
      <c r="H330" s="66">
        <v>1.681</v>
      </c>
      <c r="I330" s="66"/>
      <c r="J330" s="66"/>
      <c r="K330" s="69">
        <v>588350000</v>
      </c>
      <c r="L330" s="69">
        <v>1995788532</v>
      </c>
      <c r="M330" s="69">
        <f>+K330+L330</f>
        <v>2584138532</v>
      </c>
      <c r="N330" s="71" t="s">
        <v>73</v>
      </c>
      <c r="O330" s="71" t="s">
        <v>51</v>
      </c>
      <c r="P330" s="66">
        <v>2024</v>
      </c>
      <c r="Q330" s="66"/>
      <c r="R330" s="66"/>
      <c r="S330" s="66"/>
      <c r="T330" s="80">
        <v>0.96</v>
      </c>
      <c r="U330" s="71" t="s">
        <v>30</v>
      </c>
    </row>
    <row r="331" spans="1:21" ht="41.45" customHeight="1">
      <c r="A331" s="68"/>
      <c r="B331" s="71" t="s">
        <v>765</v>
      </c>
      <c r="C331" s="66" t="s">
        <v>41</v>
      </c>
      <c r="D331" s="66" t="s">
        <v>23</v>
      </c>
      <c r="E331" s="81" t="s">
        <v>636</v>
      </c>
      <c r="F331" s="71" t="s">
        <v>637</v>
      </c>
      <c r="G331" s="66" t="s">
        <v>638</v>
      </c>
      <c r="H331" s="66">
        <v>12.8</v>
      </c>
      <c r="I331" s="66"/>
      <c r="J331" s="66"/>
      <c r="K331" s="69">
        <f>+M331</f>
        <v>28570000000</v>
      </c>
      <c r="L331" s="69">
        <v>0</v>
      </c>
      <c r="M331" s="2">
        <v>28570000000</v>
      </c>
      <c r="N331" s="71" t="s">
        <v>496</v>
      </c>
      <c r="O331" s="71" t="s">
        <v>96</v>
      </c>
      <c r="P331" s="66">
        <v>2025</v>
      </c>
      <c r="Q331" s="66"/>
      <c r="R331" s="66"/>
      <c r="S331" s="66"/>
      <c r="T331" s="66"/>
      <c r="U331" s="71" t="s">
        <v>766</v>
      </c>
    </row>
    <row r="332" spans="1:21" ht="13.9" hidden="1">
      <c r="A332" s="66">
        <v>88</v>
      </c>
      <c r="B332" s="71" t="s">
        <v>767</v>
      </c>
      <c r="C332" s="66" t="s">
        <v>224</v>
      </c>
      <c r="D332" s="66"/>
      <c r="E332" s="81"/>
      <c r="F332" s="71"/>
      <c r="G332" s="66"/>
      <c r="H332" s="66"/>
      <c r="I332" s="66"/>
      <c r="J332" s="66"/>
      <c r="K332" s="69"/>
      <c r="L332" s="69"/>
      <c r="M332" s="69"/>
      <c r="N332" s="71"/>
      <c r="O332" s="71"/>
      <c r="P332" s="66"/>
      <c r="Q332" s="66"/>
      <c r="R332" s="66"/>
      <c r="S332" s="66"/>
      <c r="T332" s="66"/>
      <c r="U332" s="66"/>
    </row>
    <row r="333" spans="1:21" ht="41.45" hidden="1">
      <c r="A333" s="72"/>
      <c r="B333" s="71" t="s">
        <v>768</v>
      </c>
      <c r="C333" s="66" t="s">
        <v>83</v>
      </c>
      <c r="D333" s="66" t="s">
        <v>42</v>
      </c>
      <c r="E333" s="81">
        <v>2021003050023</v>
      </c>
      <c r="F333" s="71" t="s">
        <v>241</v>
      </c>
      <c r="G333" s="71" t="s">
        <v>242</v>
      </c>
      <c r="H333" s="71">
        <v>5.0999999999999996</v>
      </c>
      <c r="I333" s="71"/>
      <c r="J333" s="71"/>
      <c r="K333" s="79">
        <v>9871259287.2099991</v>
      </c>
      <c r="L333" s="79">
        <v>0</v>
      </c>
      <c r="M333" s="69">
        <f>+K333</f>
        <v>9871259287.2099991</v>
      </c>
      <c r="N333" s="79" t="s">
        <v>37</v>
      </c>
      <c r="O333" s="71"/>
      <c r="P333" s="66">
        <v>2021</v>
      </c>
      <c r="Q333" s="66"/>
      <c r="R333" s="66"/>
      <c r="S333" s="66"/>
      <c r="T333" s="70">
        <v>0.97</v>
      </c>
      <c r="U333" s="66" t="s">
        <v>30</v>
      </c>
    </row>
    <row r="334" spans="1:21" ht="13.9">
      <c r="A334" s="72"/>
      <c r="B334" s="71" t="s">
        <v>768</v>
      </c>
      <c r="C334" s="66" t="s">
        <v>83</v>
      </c>
      <c r="D334" s="66" t="s">
        <v>174</v>
      </c>
      <c r="E334" s="81" t="s">
        <v>62</v>
      </c>
      <c r="F334" s="71" t="s">
        <v>647</v>
      </c>
      <c r="G334" s="66" t="s">
        <v>769</v>
      </c>
      <c r="H334" s="66" t="s">
        <v>769</v>
      </c>
      <c r="I334" s="66"/>
      <c r="J334" s="66"/>
      <c r="K334" s="69"/>
      <c r="L334" s="69"/>
      <c r="M334" s="69"/>
      <c r="N334" s="71"/>
      <c r="O334" s="71" t="s">
        <v>29</v>
      </c>
      <c r="P334" s="66">
        <v>2026</v>
      </c>
      <c r="Q334" s="66" t="s">
        <v>129</v>
      </c>
      <c r="R334" s="66"/>
      <c r="S334" s="66"/>
      <c r="T334" s="66"/>
      <c r="U334" s="66" t="s">
        <v>590</v>
      </c>
    </row>
    <row r="335" spans="1:21" ht="41.45">
      <c r="A335" s="99">
        <v>89</v>
      </c>
      <c r="B335" s="71" t="s">
        <v>768</v>
      </c>
      <c r="C335" s="66" t="s">
        <v>83</v>
      </c>
      <c r="D335" s="66" t="s">
        <v>131</v>
      </c>
      <c r="E335" s="81">
        <v>4600017793</v>
      </c>
      <c r="F335" s="71" t="s">
        <v>453</v>
      </c>
      <c r="G335" s="66" t="s">
        <v>378</v>
      </c>
      <c r="H335" s="66">
        <v>18.03</v>
      </c>
      <c r="I335" s="71" t="s">
        <v>26</v>
      </c>
      <c r="J335" s="71" t="s">
        <v>134</v>
      </c>
      <c r="K335" s="2">
        <v>17166424376</v>
      </c>
      <c r="L335" s="69">
        <v>0</v>
      </c>
      <c r="M335" s="42">
        <f>+K335</f>
        <v>17166424376</v>
      </c>
      <c r="N335" s="71" t="s">
        <v>28</v>
      </c>
      <c r="O335" s="71" t="s">
        <v>78</v>
      </c>
      <c r="P335" s="66">
        <v>2024</v>
      </c>
      <c r="Q335" s="66" t="s">
        <v>30</v>
      </c>
      <c r="R335" s="66"/>
      <c r="S335" s="66"/>
      <c r="T335" s="70">
        <v>0.87</v>
      </c>
      <c r="U335" s="71" t="s">
        <v>136</v>
      </c>
    </row>
    <row r="336" spans="1:21" ht="44.45" customHeight="1">
      <c r="A336" s="104"/>
      <c r="B336" s="71" t="s">
        <v>768</v>
      </c>
      <c r="C336" s="66" t="s">
        <v>83</v>
      </c>
      <c r="D336" s="66" t="s">
        <v>23</v>
      </c>
      <c r="E336" s="81"/>
      <c r="F336" s="71" t="s">
        <v>101</v>
      </c>
      <c r="G336" s="71" t="s">
        <v>770</v>
      </c>
      <c r="H336" s="71" t="s">
        <v>771</v>
      </c>
      <c r="I336" s="71"/>
      <c r="J336" s="71"/>
      <c r="K336" s="79">
        <f>1341963493*15.93</f>
        <v>21377478443.489998</v>
      </c>
      <c r="L336" s="79">
        <v>0</v>
      </c>
      <c r="M336" s="69">
        <f>+K336</f>
        <v>21377478443.489998</v>
      </c>
      <c r="N336" s="71" t="s">
        <v>28</v>
      </c>
      <c r="O336" s="71" t="s">
        <v>96</v>
      </c>
      <c r="P336" s="66">
        <v>2025</v>
      </c>
      <c r="Q336" s="66" t="s">
        <v>30</v>
      </c>
      <c r="R336" s="85"/>
      <c r="S336" s="87"/>
      <c r="T336" s="80"/>
      <c r="U336" s="66" t="s">
        <v>154</v>
      </c>
    </row>
    <row r="337" spans="1:22" ht="155.44999999999999" hidden="1" customHeight="1">
      <c r="A337" s="104"/>
      <c r="B337" s="71" t="s">
        <v>768</v>
      </c>
      <c r="C337" s="66" t="s">
        <v>83</v>
      </c>
      <c r="D337" s="66" t="s">
        <v>23</v>
      </c>
      <c r="E337" s="81"/>
      <c r="F337" s="71" t="s">
        <v>244</v>
      </c>
      <c r="G337" s="71" t="s">
        <v>772</v>
      </c>
      <c r="H337" s="71" t="s">
        <v>773</v>
      </c>
      <c r="I337" s="71"/>
      <c r="J337" s="71"/>
      <c r="K337" s="79">
        <f>+M337</f>
        <v>5264621481</v>
      </c>
      <c r="L337" s="79">
        <v>0</v>
      </c>
      <c r="M337" s="69">
        <f>15793864443/3</f>
        <v>5264621481</v>
      </c>
      <c r="N337" s="71" t="s">
        <v>28</v>
      </c>
      <c r="O337" s="71" t="s">
        <v>96</v>
      </c>
      <c r="P337" s="66">
        <v>2023</v>
      </c>
      <c r="Q337" s="66"/>
      <c r="R337" s="66"/>
      <c r="S337" s="66"/>
      <c r="T337" s="70">
        <v>1</v>
      </c>
      <c r="U337" s="66" t="s">
        <v>69</v>
      </c>
    </row>
    <row r="338" spans="1:22" ht="13.9">
      <c r="A338" s="100"/>
      <c r="B338" s="71" t="s">
        <v>768</v>
      </c>
      <c r="C338" s="66" t="s">
        <v>83</v>
      </c>
      <c r="D338" s="66" t="s">
        <v>42</v>
      </c>
      <c r="E338" s="81" t="s">
        <v>774</v>
      </c>
      <c r="F338" s="71" t="s">
        <v>80</v>
      </c>
      <c r="G338" s="66" t="s">
        <v>775</v>
      </c>
      <c r="H338" s="66">
        <v>1.0549999999999999</v>
      </c>
      <c r="I338" s="66"/>
      <c r="J338" s="66"/>
      <c r="K338" s="69">
        <v>350000000</v>
      </c>
      <c r="L338" s="69">
        <v>606521273</v>
      </c>
      <c r="M338" s="69">
        <f>+K338+L338</f>
        <v>956521273</v>
      </c>
      <c r="N338" s="71" t="s">
        <v>73</v>
      </c>
      <c r="O338" s="71" t="s">
        <v>51</v>
      </c>
      <c r="P338" s="66">
        <v>2024</v>
      </c>
      <c r="Q338" s="66" t="s">
        <v>38</v>
      </c>
      <c r="R338" s="66"/>
      <c r="S338" s="66"/>
      <c r="T338" s="80">
        <v>1</v>
      </c>
      <c r="U338" s="71" t="s">
        <v>74</v>
      </c>
    </row>
    <row r="339" spans="1:22" ht="27.6" hidden="1">
      <c r="A339" s="68"/>
      <c r="B339" s="71" t="s">
        <v>776</v>
      </c>
      <c r="C339" s="66" t="s">
        <v>149</v>
      </c>
      <c r="D339" s="66" t="s">
        <v>23</v>
      </c>
      <c r="E339" s="81">
        <v>2022003050012</v>
      </c>
      <c r="F339" s="71" t="s">
        <v>777</v>
      </c>
      <c r="G339" s="66"/>
      <c r="H339" s="66"/>
      <c r="I339" s="66"/>
      <c r="J339" s="66"/>
      <c r="K339" s="69">
        <v>5269090165</v>
      </c>
      <c r="L339" s="69">
        <v>0</v>
      </c>
      <c r="M339" s="69">
        <f>+K339</f>
        <v>5269090165</v>
      </c>
      <c r="N339" s="71" t="s">
        <v>37</v>
      </c>
      <c r="O339" s="71"/>
      <c r="P339" s="66"/>
      <c r="Q339" s="66"/>
      <c r="R339" s="66"/>
      <c r="S339" s="66"/>
      <c r="T339" s="80">
        <v>0.60429999999999995</v>
      </c>
      <c r="U339" s="71" t="s">
        <v>30</v>
      </c>
    </row>
    <row r="340" spans="1:22" ht="40.9" customHeight="1">
      <c r="A340" s="93">
        <v>90</v>
      </c>
      <c r="B340" s="71" t="s">
        <v>776</v>
      </c>
      <c r="C340" s="66" t="s">
        <v>149</v>
      </c>
      <c r="D340" s="66" t="s">
        <v>42</v>
      </c>
      <c r="E340" s="81" t="s">
        <v>146</v>
      </c>
      <c r="F340" s="71" t="s">
        <v>265</v>
      </c>
      <c r="G340" s="66" t="s">
        <v>76</v>
      </c>
      <c r="H340" s="66">
        <v>1</v>
      </c>
      <c r="I340" s="66"/>
      <c r="J340" s="66"/>
      <c r="K340" s="69">
        <v>257866703</v>
      </c>
      <c r="L340" s="69">
        <v>369796072</v>
      </c>
      <c r="M340" s="69">
        <v>852662775</v>
      </c>
      <c r="N340" s="79" t="s">
        <v>147</v>
      </c>
      <c r="O340" s="71" t="s">
        <v>51</v>
      </c>
      <c r="P340" s="66">
        <v>2025</v>
      </c>
      <c r="Q340" s="66" t="s">
        <v>38</v>
      </c>
      <c r="R340" s="66"/>
      <c r="S340" s="66"/>
      <c r="T340" s="70">
        <v>1</v>
      </c>
      <c r="U340" s="66" t="s">
        <v>74</v>
      </c>
      <c r="V340" s="33"/>
    </row>
    <row r="341" spans="1:22" ht="20.45" customHeight="1">
      <c r="A341" s="93"/>
      <c r="B341" s="71" t="s">
        <v>776</v>
      </c>
      <c r="C341" s="66" t="s">
        <v>149</v>
      </c>
      <c r="D341" s="66" t="s">
        <v>42</v>
      </c>
      <c r="E341" s="81" t="s">
        <v>778</v>
      </c>
      <c r="F341" s="71" t="s">
        <v>265</v>
      </c>
      <c r="G341" s="66" t="s">
        <v>76</v>
      </c>
      <c r="H341" s="66">
        <v>1</v>
      </c>
      <c r="I341" s="66"/>
      <c r="J341" s="66"/>
      <c r="K341" s="2">
        <v>350000000</v>
      </c>
      <c r="L341" s="69">
        <v>594865195</v>
      </c>
      <c r="M341" s="69">
        <f>+K341+L341</f>
        <v>944865195</v>
      </c>
      <c r="N341" s="79" t="s">
        <v>73</v>
      </c>
      <c r="O341" s="71" t="s">
        <v>51</v>
      </c>
      <c r="P341" s="66">
        <v>2025</v>
      </c>
      <c r="Q341" s="66" t="s">
        <v>30</v>
      </c>
      <c r="R341" s="66"/>
      <c r="S341" s="66"/>
      <c r="T341" s="70">
        <v>0.95</v>
      </c>
      <c r="U341" s="66"/>
      <c r="V341" s="33"/>
    </row>
    <row r="342" spans="1:22" ht="13.9">
      <c r="A342" s="93">
        <v>91</v>
      </c>
      <c r="B342" s="71" t="s">
        <v>779</v>
      </c>
      <c r="C342" s="66" t="s">
        <v>22</v>
      </c>
      <c r="D342" s="66" t="s">
        <v>42</v>
      </c>
      <c r="E342" s="81" t="s">
        <v>780</v>
      </c>
      <c r="F342" s="71" t="s">
        <v>265</v>
      </c>
      <c r="G342" s="66" t="s">
        <v>474</v>
      </c>
      <c r="H342" s="66">
        <v>1.3</v>
      </c>
      <c r="I342" s="66"/>
      <c r="J342" s="66"/>
      <c r="K342" s="69">
        <v>350000000</v>
      </c>
      <c r="L342" s="69">
        <v>597465000</v>
      </c>
      <c r="M342" s="69">
        <f>+K342+L342</f>
        <v>947465000</v>
      </c>
      <c r="N342" s="71" t="s">
        <v>73</v>
      </c>
      <c r="O342" s="71" t="s">
        <v>51</v>
      </c>
      <c r="P342" s="66">
        <v>2024</v>
      </c>
      <c r="Q342" s="66" t="s">
        <v>38</v>
      </c>
      <c r="R342" s="66"/>
      <c r="S342" s="66"/>
      <c r="T342" s="80">
        <v>1</v>
      </c>
      <c r="U342" s="71" t="s">
        <v>69</v>
      </c>
    </row>
    <row r="343" spans="1:22" ht="13.9">
      <c r="A343" s="93"/>
      <c r="B343" s="71" t="s">
        <v>779</v>
      </c>
      <c r="C343" s="66" t="s">
        <v>22</v>
      </c>
      <c r="D343" s="66" t="s">
        <v>42</v>
      </c>
      <c r="E343" s="81" t="s">
        <v>781</v>
      </c>
      <c r="F343" s="71" t="s">
        <v>265</v>
      </c>
      <c r="G343" s="66" t="s">
        <v>399</v>
      </c>
      <c r="H343" s="66">
        <v>0.5</v>
      </c>
      <c r="I343" s="66"/>
      <c r="J343" s="66"/>
      <c r="K343" s="69">
        <v>175000000</v>
      </c>
      <c r="L343" s="69">
        <v>308000000</v>
      </c>
      <c r="M343" s="69">
        <f>+K343+L343</f>
        <v>483000000</v>
      </c>
      <c r="N343" s="71" t="s">
        <v>73</v>
      </c>
      <c r="O343" s="71" t="s">
        <v>51</v>
      </c>
      <c r="P343" s="66">
        <v>2025</v>
      </c>
      <c r="Q343" s="66" t="s">
        <v>30</v>
      </c>
      <c r="R343" s="66"/>
      <c r="S343" s="66"/>
      <c r="T343" s="80">
        <v>0.6</v>
      </c>
      <c r="U343" s="71" t="s">
        <v>30</v>
      </c>
    </row>
    <row r="344" spans="1:22" ht="27.6">
      <c r="A344" s="93"/>
      <c r="B344" s="71" t="s">
        <v>779</v>
      </c>
      <c r="C344" s="66" t="s">
        <v>22</v>
      </c>
      <c r="D344" s="66" t="s">
        <v>174</v>
      </c>
      <c r="E344" s="81" t="s">
        <v>62</v>
      </c>
      <c r="F344" s="71" t="s">
        <v>782</v>
      </c>
      <c r="G344" s="66" t="s">
        <v>783</v>
      </c>
      <c r="H344" s="66" t="s">
        <v>783</v>
      </c>
      <c r="I344" s="66"/>
      <c r="J344" s="66"/>
      <c r="K344" s="69">
        <v>753547679</v>
      </c>
      <c r="L344" s="69">
        <v>0</v>
      </c>
      <c r="M344" s="69">
        <f>+K344</f>
        <v>753547679</v>
      </c>
      <c r="N344" s="71" t="s">
        <v>37</v>
      </c>
      <c r="O344" s="71"/>
      <c r="P344" s="66">
        <v>2025</v>
      </c>
      <c r="Q344" s="66" t="s">
        <v>177</v>
      </c>
      <c r="R344" s="66"/>
      <c r="S344" s="66"/>
      <c r="T344" s="80"/>
      <c r="U344" s="71" t="s">
        <v>248</v>
      </c>
    </row>
    <row r="345" spans="1:22" ht="13.9">
      <c r="A345" s="93"/>
      <c r="B345" s="71" t="s">
        <v>779</v>
      </c>
      <c r="C345" s="66" t="s">
        <v>22</v>
      </c>
      <c r="D345" s="66" t="s">
        <v>23</v>
      </c>
      <c r="E345" s="81">
        <v>4600016231</v>
      </c>
      <c r="F345" s="71" t="s">
        <v>208</v>
      </c>
      <c r="G345" s="66" t="s">
        <v>784</v>
      </c>
      <c r="H345" s="66">
        <v>97.7</v>
      </c>
      <c r="I345" s="66"/>
      <c r="J345" s="66"/>
      <c r="K345" s="69">
        <v>129926871</v>
      </c>
      <c r="L345" s="69">
        <v>0</v>
      </c>
      <c r="M345" s="69">
        <f>+K345</f>
        <v>129926871</v>
      </c>
      <c r="N345" s="71" t="s">
        <v>28</v>
      </c>
      <c r="O345" s="71" t="s">
        <v>51</v>
      </c>
      <c r="P345" s="66">
        <v>2024</v>
      </c>
      <c r="Q345" s="66" t="s">
        <v>115</v>
      </c>
      <c r="R345" s="66"/>
      <c r="S345" s="66"/>
      <c r="T345" s="80">
        <v>1</v>
      </c>
      <c r="U345" s="71" t="s">
        <v>81</v>
      </c>
    </row>
    <row r="346" spans="1:22" ht="27.6" hidden="1">
      <c r="A346" s="93"/>
      <c r="B346" s="71" t="s">
        <v>779</v>
      </c>
      <c r="C346" s="66" t="s">
        <v>22</v>
      </c>
      <c r="D346" s="66" t="s">
        <v>23</v>
      </c>
      <c r="E346" s="81"/>
      <c r="F346" s="71" t="s">
        <v>785</v>
      </c>
      <c r="G346" s="66" t="s">
        <v>786</v>
      </c>
      <c r="H346" s="66" t="s">
        <v>787</v>
      </c>
      <c r="I346" s="66"/>
      <c r="J346" s="66"/>
      <c r="K346" s="69">
        <f>5253733694+602176279</f>
        <v>5855909973</v>
      </c>
      <c r="L346" s="69">
        <v>0</v>
      </c>
      <c r="M346" s="69">
        <f>+K346</f>
        <v>5855909973</v>
      </c>
      <c r="N346" s="71" t="s">
        <v>28</v>
      </c>
      <c r="O346" s="71" t="s">
        <v>96</v>
      </c>
      <c r="P346" s="66">
        <v>2023</v>
      </c>
      <c r="Q346" s="66"/>
      <c r="R346" s="66"/>
      <c r="S346" s="66"/>
      <c r="T346" s="80">
        <v>1</v>
      </c>
      <c r="U346" s="71" t="s">
        <v>69</v>
      </c>
    </row>
    <row r="347" spans="1:22" ht="27.6" hidden="1">
      <c r="A347" s="93"/>
      <c r="B347" s="71" t="s">
        <v>779</v>
      </c>
      <c r="C347" s="66"/>
      <c r="D347" s="66"/>
      <c r="E347" s="81"/>
      <c r="F347" s="71" t="s">
        <v>788</v>
      </c>
      <c r="G347" s="66" t="s">
        <v>789</v>
      </c>
      <c r="H347" s="66">
        <v>6.1</v>
      </c>
      <c r="I347" s="66"/>
      <c r="J347" s="66"/>
      <c r="K347" s="69">
        <v>55163592307</v>
      </c>
      <c r="L347" s="69">
        <v>0</v>
      </c>
      <c r="M347" s="69">
        <f>+K347</f>
        <v>55163592307</v>
      </c>
      <c r="N347" s="71" t="s">
        <v>98</v>
      </c>
      <c r="O347" s="71" t="s">
        <v>78</v>
      </c>
      <c r="P347" s="66"/>
      <c r="Q347" s="66"/>
      <c r="R347" s="66"/>
      <c r="S347" s="66"/>
      <c r="T347" s="80">
        <v>0</v>
      </c>
      <c r="U347" s="71" t="s">
        <v>790</v>
      </c>
    </row>
    <row r="348" spans="1:22" ht="13.9">
      <c r="A348" s="93"/>
      <c r="B348" s="71" t="s">
        <v>779</v>
      </c>
      <c r="C348" s="66" t="s">
        <v>22</v>
      </c>
      <c r="D348" s="66" t="s">
        <v>42</v>
      </c>
      <c r="E348" s="81">
        <v>2024003050239</v>
      </c>
      <c r="F348" s="71" t="s">
        <v>75</v>
      </c>
      <c r="G348" s="66" t="s">
        <v>165</v>
      </c>
      <c r="H348" s="66">
        <v>4</v>
      </c>
      <c r="I348" s="66"/>
      <c r="J348" s="66"/>
      <c r="K348" s="2">
        <v>5636912239</v>
      </c>
      <c r="L348" s="69">
        <v>1409228060</v>
      </c>
      <c r="M348" s="69">
        <f>+K348+L348</f>
        <v>7046140299</v>
      </c>
      <c r="N348" s="2" t="s">
        <v>37</v>
      </c>
      <c r="O348" s="2" t="s">
        <v>45</v>
      </c>
      <c r="P348" s="66">
        <v>2024</v>
      </c>
      <c r="Q348" s="66" t="s">
        <v>52</v>
      </c>
      <c r="R348" s="66"/>
      <c r="S348" s="66"/>
      <c r="T348" s="70">
        <v>1</v>
      </c>
      <c r="U348" s="66" t="s">
        <v>69</v>
      </c>
    </row>
    <row r="349" spans="1:22" ht="61.15" customHeight="1">
      <c r="A349" s="93">
        <v>92</v>
      </c>
      <c r="B349" s="71" t="s">
        <v>791</v>
      </c>
      <c r="C349" s="66" t="s">
        <v>22</v>
      </c>
      <c r="D349" s="66" t="s">
        <v>42</v>
      </c>
      <c r="E349" s="81">
        <v>2025003050022</v>
      </c>
      <c r="F349" s="71" t="s">
        <v>792</v>
      </c>
      <c r="G349" s="66" t="s">
        <v>105</v>
      </c>
      <c r="H349" s="66">
        <v>2</v>
      </c>
      <c r="I349" s="66"/>
      <c r="J349" s="66"/>
      <c r="K349" s="69">
        <f>+M349*0.8</f>
        <v>3866655804.8000002</v>
      </c>
      <c r="L349" s="69">
        <f>+M349*0.2</f>
        <v>966663951.20000005</v>
      </c>
      <c r="M349" s="2">
        <v>4833319756</v>
      </c>
      <c r="N349" s="2" t="s">
        <v>37</v>
      </c>
      <c r="O349" s="2" t="s">
        <v>45</v>
      </c>
      <c r="P349" s="66">
        <v>2025</v>
      </c>
      <c r="Q349" s="66" t="s">
        <v>30</v>
      </c>
      <c r="R349" s="66"/>
      <c r="S349" s="66"/>
      <c r="T349" s="70">
        <v>0.26</v>
      </c>
      <c r="U349" s="71"/>
    </row>
    <row r="350" spans="1:22" ht="61.15" customHeight="1">
      <c r="A350" s="93"/>
      <c r="B350" s="71" t="s">
        <v>791</v>
      </c>
      <c r="C350" s="66" t="s">
        <v>22</v>
      </c>
      <c r="D350" s="66" t="s">
        <v>793</v>
      </c>
      <c r="E350" s="81">
        <v>4600017623</v>
      </c>
      <c r="F350" s="71" t="s">
        <v>208</v>
      </c>
      <c r="G350" s="66" t="s">
        <v>794</v>
      </c>
      <c r="H350" s="66">
        <v>37.369999999999997</v>
      </c>
      <c r="I350" s="66"/>
      <c r="J350" s="66"/>
      <c r="K350" s="69">
        <v>21121639</v>
      </c>
      <c r="L350" s="69">
        <v>0</v>
      </c>
      <c r="M350" s="2">
        <f>+K350</f>
        <v>21121639</v>
      </c>
      <c r="N350" s="2" t="s">
        <v>28</v>
      </c>
      <c r="O350" s="2" t="s">
        <v>51</v>
      </c>
      <c r="P350" s="66">
        <v>2024</v>
      </c>
      <c r="Q350" s="66"/>
      <c r="R350" s="66"/>
      <c r="S350" s="66"/>
      <c r="T350" s="70">
        <v>1</v>
      </c>
      <c r="U350" s="71" t="s">
        <v>81</v>
      </c>
    </row>
    <row r="351" spans="1:22" ht="13.9">
      <c r="A351" s="93"/>
      <c r="B351" s="71" t="s">
        <v>791</v>
      </c>
      <c r="C351" s="66" t="s">
        <v>22</v>
      </c>
      <c r="D351" s="66" t="s">
        <v>42</v>
      </c>
      <c r="E351" s="81" t="s">
        <v>795</v>
      </c>
      <c r="F351" s="71" t="s">
        <v>80</v>
      </c>
      <c r="G351" s="66" t="s">
        <v>204</v>
      </c>
      <c r="H351" s="66">
        <v>0.1</v>
      </c>
      <c r="I351" s="66"/>
      <c r="J351" s="66"/>
      <c r="K351" s="69">
        <v>34994438</v>
      </c>
      <c r="L351" s="69">
        <v>80651620</v>
      </c>
      <c r="M351" s="69">
        <f>+K351+L351</f>
        <v>115646058</v>
      </c>
      <c r="N351" s="69" t="s">
        <v>73</v>
      </c>
      <c r="O351" s="69" t="s">
        <v>51</v>
      </c>
      <c r="P351" s="66">
        <v>2024</v>
      </c>
      <c r="Q351" s="66" t="s">
        <v>38</v>
      </c>
      <c r="R351" s="66"/>
      <c r="S351" s="66"/>
      <c r="T351" s="70">
        <v>1</v>
      </c>
      <c r="U351" s="66" t="s">
        <v>81</v>
      </c>
    </row>
    <row r="352" spans="1:22" ht="94.15" hidden="1" customHeight="1">
      <c r="A352" s="93">
        <v>93</v>
      </c>
      <c r="B352" s="71" t="s">
        <v>796</v>
      </c>
      <c r="C352" s="66" t="s">
        <v>41</v>
      </c>
      <c r="D352" s="66" t="s">
        <v>23</v>
      </c>
      <c r="E352" s="81" t="s">
        <v>492</v>
      </c>
      <c r="F352" s="71" t="s">
        <v>493</v>
      </c>
      <c r="G352" s="71" t="s">
        <v>797</v>
      </c>
      <c r="H352" s="71" t="s">
        <v>798</v>
      </c>
      <c r="I352" s="71"/>
      <c r="J352" s="71"/>
      <c r="K352" s="79">
        <f>+M352</f>
        <v>37775453509</v>
      </c>
      <c r="L352" s="79">
        <v>0</v>
      </c>
      <c r="M352" s="69">
        <v>37775453509</v>
      </c>
      <c r="N352" s="79" t="s">
        <v>496</v>
      </c>
      <c r="O352" s="69" t="s">
        <v>96</v>
      </c>
      <c r="P352" s="66">
        <v>2023</v>
      </c>
      <c r="Q352" s="66" t="s">
        <v>38</v>
      </c>
      <c r="R352" s="66"/>
      <c r="S352" s="66"/>
      <c r="T352" s="70">
        <v>1</v>
      </c>
      <c r="U352" s="66" t="s">
        <v>74</v>
      </c>
    </row>
    <row r="353" spans="1:21" ht="94.15" customHeight="1">
      <c r="A353" s="93"/>
      <c r="B353" s="71" t="s">
        <v>796</v>
      </c>
      <c r="C353" s="66" t="s">
        <v>41</v>
      </c>
      <c r="D353" s="66" t="s">
        <v>23</v>
      </c>
      <c r="E353" s="81"/>
      <c r="F353" s="71" t="s">
        <v>151</v>
      </c>
      <c r="G353" s="71" t="s">
        <v>799</v>
      </c>
      <c r="H353" s="71" t="s">
        <v>800</v>
      </c>
      <c r="I353" s="71"/>
      <c r="J353" s="71"/>
      <c r="K353" s="3">
        <f>6420624640+504320210</f>
        <v>6924944850</v>
      </c>
      <c r="L353" s="79">
        <v>0</v>
      </c>
      <c r="M353" s="2">
        <f>+K353</f>
        <v>6924944850</v>
      </c>
      <c r="N353" s="71" t="s">
        <v>28</v>
      </c>
      <c r="O353" s="71" t="s">
        <v>96</v>
      </c>
      <c r="P353" s="66">
        <v>2024</v>
      </c>
      <c r="Q353" s="66"/>
      <c r="R353" s="66"/>
      <c r="S353" s="66"/>
      <c r="T353" s="70">
        <v>1</v>
      </c>
      <c r="U353" s="66" t="s">
        <v>115</v>
      </c>
    </row>
    <row r="354" spans="1:21" ht="94.15" customHeight="1">
      <c r="A354" s="93"/>
      <c r="B354" s="71" t="s">
        <v>796</v>
      </c>
      <c r="C354" s="66" t="s">
        <v>41</v>
      </c>
      <c r="D354" s="66" t="s">
        <v>42</v>
      </c>
      <c r="E354" s="81" t="s">
        <v>801</v>
      </c>
      <c r="F354" s="71" t="s">
        <v>265</v>
      </c>
      <c r="G354" s="71" t="s">
        <v>535</v>
      </c>
      <c r="H354" s="71">
        <v>0.5</v>
      </c>
      <c r="I354" s="71"/>
      <c r="J354" s="71"/>
      <c r="K354" s="3">
        <v>175000000</v>
      </c>
      <c r="L354" s="79">
        <v>286706175</v>
      </c>
      <c r="M354" s="2">
        <f>+K354+L354</f>
        <v>461706175</v>
      </c>
      <c r="N354" s="71" t="s">
        <v>73</v>
      </c>
      <c r="O354" s="71" t="s">
        <v>51</v>
      </c>
      <c r="P354" s="66">
        <v>2025</v>
      </c>
      <c r="Q354" s="66" t="s">
        <v>30</v>
      </c>
      <c r="R354" s="66"/>
      <c r="S354" s="66"/>
      <c r="T354" s="70">
        <v>0.7</v>
      </c>
      <c r="U354" s="66" t="s">
        <v>30</v>
      </c>
    </row>
    <row r="355" spans="1:21" ht="46.9" customHeight="1">
      <c r="A355" s="93"/>
      <c r="B355" s="71" t="s">
        <v>796</v>
      </c>
      <c r="C355" s="66" t="s">
        <v>41</v>
      </c>
      <c r="D355" s="66" t="s">
        <v>131</v>
      </c>
      <c r="E355" s="81">
        <v>4600017793</v>
      </c>
      <c r="F355" s="71" t="s">
        <v>453</v>
      </c>
      <c r="G355" s="71" t="s">
        <v>802</v>
      </c>
      <c r="H355" s="71">
        <v>10.51</v>
      </c>
      <c r="I355" s="71" t="s">
        <v>26</v>
      </c>
      <c r="J355" s="71" t="s">
        <v>134</v>
      </c>
      <c r="K355" s="2">
        <v>17166424376</v>
      </c>
      <c r="L355" s="69">
        <v>0</v>
      </c>
      <c r="M355" s="42">
        <f>+K355</f>
        <v>17166424376</v>
      </c>
      <c r="N355" s="71" t="s">
        <v>28</v>
      </c>
      <c r="O355" s="71" t="s">
        <v>78</v>
      </c>
      <c r="P355" s="66">
        <v>2024</v>
      </c>
      <c r="Q355" s="66" t="s">
        <v>30</v>
      </c>
      <c r="R355" s="66"/>
      <c r="S355" s="66"/>
      <c r="T355" s="70">
        <v>0.87</v>
      </c>
      <c r="U355" s="71" t="s">
        <v>136</v>
      </c>
    </row>
    <row r="356" spans="1:21" ht="13.9" hidden="1">
      <c r="A356" s="93"/>
      <c r="B356" s="71" t="s">
        <v>796</v>
      </c>
      <c r="C356" s="66" t="s">
        <v>41</v>
      </c>
      <c r="D356" s="66" t="s">
        <v>174</v>
      </c>
      <c r="E356" s="81">
        <v>2025003050058</v>
      </c>
      <c r="F356" s="71" t="s">
        <v>175</v>
      </c>
      <c r="G356" s="71" t="s">
        <v>803</v>
      </c>
      <c r="H356" s="71" t="s">
        <v>803</v>
      </c>
      <c r="I356" s="71"/>
      <c r="J356" s="71"/>
      <c r="K356" s="79">
        <v>1956028276</v>
      </c>
      <c r="L356" s="79">
        <v>0</v>
      </c>
      <c r="M356" s="69">
        <f>+K356</f>
        <v>1956028276</v>
      </c>
      <c r="N356" s="69" t="s">
        <v>37</v>
      </c>
      <c r="O356" s="71" t="s">
        <v>29</v>
      </c>
      <c r="P356" s="66">
        <v>2026</v>
      </c>
      <c r="Q356" s="66" t="s">
        <v>567</v>
      </c>
      <c r="R356" s="66"/>
      <c r="S356" s="66"/>
      <c r="T356" s="70"/>
      <c r="U356" s="66" t="s">
        <v>370</v>
      </c>
    </row>
    <row r="357" spans="1:21" ht="13.9">
      <c r="A357" s="93"/>
      <c r="B357" s="71" t="s">
        <v>796</v>
      </c>
      <c r="C357" s="66" t="s">
        <v>41</v>
      </c>
      <c r="D357" s="66" t="s">
        <v>42</v>
      </c>
      <c r="E357" s="81" t="s">
        <v>804</v>
      </c>
      <c r="F357" s="71" t="s">
        <v>80</v>
      </c>
      <c r="G357" s="66" t="s">
        <v>76</v>
      </c>
      <c r="H357" s="66">
        <v>1</v>
      </c>
      <c r="I357" s="66"/>
      <c r="J357" s="66"/>
      <c r="K357" s="2">
        <v>350000000</v>
      </c>
      <c r="L357" s="69">
        <v>480824988</v>
      </c>
      <c r="M357" s="69">
        <f>+K357+L357</f>
        <v>830824988</v>
      </c>
      <c r="N357" s="71" t="s">
        <v>73</v>
      </c>
      <c r="O357" s="71" t="s">
        <v>51</v>
      </c>
      <c r="P357" s="66">
        <v>2024</v>
      </c>
      <c r="Q357" s="66" t="s">
        <v>38</v>
      </c>
      <c r="R357" s="66"/>
      <c r="S357" s="66"/>
      <c r="T357" s="80">
        <v>1</v>
      </c>
      <c r="U357" s="71" t="s">
        <v>69</v>
      </c>
    </row>
    <row r="358" spans="1:21" ht="81.599999999999994" hidden="1" customHeight="1">
      <c r="A358" s="66"/>
      <c r="B358" s="71" t="s">
        <v>805</v>
      </c>
      <c r="C358" s="66" t="s">
        <v>149</v>
      </c>
      <c r="D358" s="66" t="s">
        <v>793</v>
      </c>
      <c r="E358" s="81" t="s">
        <v>492</v>
      </c>
      <c r="F358" s="76" t="s">
        <v>806</v>
      </c>
      <c r="G358" s="71" t="s">
        <v>494</v>
      </c>
      <c r="H358" s="71" t="s">
        <v>495</v>
      </c>
      <c r="I358" s="71"/>
      <c r="J358" s="71"/>
      <c r="K358" s="79">
        <f>+M358</f>
        <v>37775453509</v>
      </c>
      <c r="L358" s="79">
        <v>0</v>
      </c>
      <c r="M358" s="2">
        <v>37775453509</v>
      </c>
      <c r="N358" s="79" t="s">
        <v>496</v>
      </c>
      <c r="O358" s="71" t="s">
        <v>96</v>
      </c>
      <c r="P358" s="66">
        <v>2023</v>
      </c>
      <c r="Q358" s="66" t="s">
        <v>38</v>
      </c>
      <c r="R358" s="66"/>
      <c r="S358" s="66"/>
      <c r="T358" s="40">
        <v>1</v>
      </c>
      <c r="U358" s="66" t="s">
        <v>385</v>
      </c>
    </row>
    <row r="359" spans="1:21" ht="81.599999999999994" customHeight="1">
      <c r="A359" s="66"/>
      <c r="B359" s="71" t="s">
        <v>805</v>
      </c>
      <c r="C359" s="66" t="s">
        <v>149</v>
      </c>
      <c r="D359" s="66" t="s">
        <v>174</v>
      </c>
      <c r="E359" s="81" t="s">
        <v>62</v>
      </c>
      <c r="F359" s="76" t="s">
        <v>807</v>
      </c>
      <c r="G359" s="71" t="s">
        <v>808</v>
      </c>
      <c r="H359" s="71" t="s">
        <v>808</v>
      </c>
      <c r="I359" s="71"/>
      <c r="J359" s="71"/>
      <c r="K359" s="79" t="s">
        <v>809</v>
      </c>
      <c r="L359" s="79">
        <v>0</v>
      </c>
      <c r="M359" s="3" t="s">
        <v>809</v>
      </c>
      <c r="N359" s="66" t="s">
        <v>37</v>
      </c>
      <c r="O359" s="79" t="s">
        <v>45</v>
      </c>
      <c r="P359" s="66">
        <v>2025</v>
      </c>
      <c r="Q359" s="66" t="s">
        <v>177</v>
      </c>
      <c r="R359" s="66"/>
      <c r="S359" s="66"/>
      <c r="T359" s="40"/>
      <c r="U359" s="71" t="s">
        <v>178</v>
      </c>
    </row>
    <row r="360" spans="1:21" ht="65.45" customHeight="1">
      <c r="A360" s="48">
        <v>94</v>
      </c>
      <c r="B360" s="71" t="s">
        <v>805</v>
      </c>
      <c r="C360" s="66" t="s">
        <v>149</v>
      </c>
      <c r="D360" s="66" t="s">
        <v>23</v>
      </c>
      <c r="E360" s="81"/>
      <c r="F360" s="71" t="s">
        <v>101</v>
      </c>
      <c r="G360" s="71" t="s">
        <v>810</v>
      </c>
      <c r="H360" s="71" t="s">
        <v>811</v>
      </c>
      <c r="I360" s="71"/>
      <c r="J360" s="71"/>
      <c r="K360" s="79">
        <f>1341407247*39.95</f>
        <v>53589219517.650002</v>
      </c>
      <c r="L360" s="79">
        <v>0</v>
      </c>
      <c r="M360" s="2">
        <f>+K360</f>
        <v>53589219517.650002</v>
      </c>
      <c r="N360" s="79" t="s">
        <v>28</v>
      </c>
      <c r="O360" s="71" t="s">
        <v>96</v>
      </c>
      <c r="P360" s="66">
        <v>2025</v>
      </c>
      <c r="Q360" s="66" t="s">
        <v>30</v>
      </c>
      <c r="R360" s="85"/>
      <c r="S360" s="87"/>
      <c r="T360" s="80"/>
      <c r="U360" s="66" t="s">
        <v>154</v>
      </c>
    </row>
    <row r="361" spans="1:21" ht="27.6">
      <c r="A361" s="48"/>
      <c r="B361" s="71" t="s">
        <v>805</v>
      </c>
      <c r="C361" s="66" t="s">
        <v>149</v>
      </c>
      <c r="D361" s="66" t="s">
        <v>42</v>
      </c>
      <c r="E361" s="81" t="s">
        <v>812</v>
      </c>
      <c r="F361" s="71" t="s">
        <v>80</v>
      </c>
      <c r="G361" s="66" t="s">
        <v>813</v>
      </c>
      <c r="H361" s="66">
        <v>0.28000000000000003</v>
      </c>
      <c r="I361" s="66"/>
      <c r="J361" s="66"/>
      <c r="K361" s="2">
        <v>98000000</v>
      </c>
      <c r="L361" s="69">
        <v>138289769</v>
      </c>
      <c r="M361" s="69">
        <f>+K361+L361</f>
        <v>236289769</v>
      </c>
      <c r="N361" s="79" t="s">
        <v>73</v>
      </c>
      <c r="O361" s="71" t="s">
        <v>51</v>
      </c>
      <c r="P361" s="66">
        <v>2024</v>
      </c>
      <c r="Q361" s="66" t="s">
        <v>38</v>
      </c>
      <c r="R361" s="66"/>
      <c r="S361" s="66"/>
      <c r="T361" s="80">
        <v>1</v>
      </c>
      <c r="U361" s="71" t="s">
        <v>69</v>
      </c>
    </row>
    <row r="362" spans="1:21" ht="27.6">
      <c r="A362" s="48"/>
      <c r="B362" s="71" t="s">
        <v>805</v>
      </c>
      <c r="C362" s="66" t="s">
        <v>149</v>
      </c>
      <c r="D362" s="66" t="s">
        <v>42</v>
      </c>
      <c r="E362" s="81">
        <v>2025003050014</v>
      </c>
      <c r="F362" s="71" t="s">
        <v>814</v>
      </c>
      <c r="G362" s="66" t="s">
        <v>815</v>
      </c>
      <c r="H362" s="66">
        <v>0.77500000000000002</v>
      </c>
      <c r="I362" s="66"/>
      <c r="J362" s="66"/>
      <c r="K362" s="69">
        <f>1811206529*0.8</f>
        <v>1448965223.2</v>
      </c>
      <c r="L362" s="69">
        <f>1811206529*0.2</f>
        <v>362241305.80000001</v>
      </c>
      <c r="M362" s="69">
        <v>1811206529</v>
      </c>
      <c r="N362" s="2" t="s">
        <v>37</v>
      </c>
      <c r="O362" s="2" t="s">
        <v>45</v>
      </c>
      <c r="P362" s="66">
        <v>2025</v>
      </c>
      <c r="Q362" s="66" t="s">
        <v>38</v>
      </c>
      <c r="R362" s="66"/>
      <c r="S362" s="66"/>
      <c r="T362" s="80">
        <v>1</v>
      </c>
      <c r="U362" s="71" t="s">
        <v>74</v>
      </c>
    </row>
    <row r="363" spans="1:21" ht="13.9">
      <c r="A363" s="93"/>
      <c r="B363" s="71" t="s">
        <v>816</v>
      </c>
      <c r="C363" s="66" t="s">
        <v>181</v>
      </c>
      <c r="D363" s="66" t="s">
        <v>42</v>
      </c>
      <c r="E363" s="81">
        <v>2025003050010</v>
      </c>
      <c r="F363" s="71" t="s">
        <v>817</v>
      </c>
      <c r="G363" s="66" t="s">
        <v>76</v>
      </c>
      <c r="H363" s="66">
        <v>1</v>
      </c>
      <c r="I363" s="66"/>
      <c r="J363" s="66"/>
      <c r="K363" s="69">
        <f>+M363*0.8</f>
        <v>1983909866.4000001</v>
      </c>
      <c r="L363" s="69">
        <f>+M363*0.2</f>
        <v>495977466.60000002</v>
      </c>
      <c r="M363" s="69">
        <v>2479887333</v>
      </c>
      <c r="N363" s="2" t="s">
        <v>37</v>
      </c>
      <c r="O363" s="2" t="s">
        <v>45</v>
      </c>
      <c r="P363" s="66">
        <v>2025</v>
      </c>
      <c r="Q363" s="66" t="s">
        <v>99</v>
      </c>
      <c r="R363" s="66"/>
      <c r="S363" s="66"/>
      <c r="T363" s="80">
        <v>0</v>
      </c>
      <c r="U363" s="71"/>
    </row>
    <row r="364" spans="1:21" ht="13.9">
      <c r="A364" s="93"/>
      <c r="B364" s="71" t="s">
        <v>816</v>
      </c>
      <c r="C364" s="66" t="s">
        <v>181</v>
      </c>
      <c r="D364" s="66" t="s">
        <v>42</v>
      </c>
      <c r="E364" s="81" t="s">
        <v>818</v>
      </c>
      <c r="F364" s="71" t="s">
        <v>80</v>
      </c>
      <c r="G364" s="66" t="s">
        <v>819</v>
      </c>
      <c r="H364" s="66" t="s">
        <v>819</v>
      </c>
      <c r="I364" s="66"/>
      <c r="J364" s="66"/>
      <c r="K364" s="2">
        <v>223101532</v>
      </c>
      <c r="L364" s="69">
        <v>1750015868</v>
      </c>
      <c r="M364" s="69">
        <f>+K364+L364</f>
        <v>1973117400</v>
      </c>
      <c r="N364" s="71" t="s">
        <v>73</v>
      </c>
      <c r="O364" s="71" t="s">
        <v>51</v>
      </c>
      <c r="P364" s="66">
        <v>2024</v>
      </c>
      <c r="Q364" s="66" t="s">
        <v>38</v>
      </c>
      <c r="R364" s="66"/>
      <c r="S364" s="66"/>
      <c r="T364" s="70">
        <v>1</v>
      </c>
      <c r="U364" s="66" t="s">
        <v>69</v>
      </c>
    </row>
    <row r="365" spans="1:21" ht="13.9">
      <c r="A365" s="68">
        <v>96</v>
      </c>
      <c r="B365" s="71" t="s">
        <v>820</v>
      </c>
      <c r="C365" s="66" t="s">
        <v>22</v>
      </c>
      <c r="D365" s="66" t="s">
        <v>42</v>
      </c>
      <c r="E365" s="81" t="s">
        <v>821</v>
      </c>
      <c r="F365" s="71" t="s">
        <v>80</v>
      </c>
      <c r="G365" s="66" t="s">
        <v>506</v>
      </c>
      <c r="H365" s="66">
        <v>0.7</v>
      </c>
      <c r="I365" s="66"/>
      <c r="J365" s="66"/>
      <c r="K365" s="69">
        <v>245000000</v>
      </c>
      <c r="L365" s="69">
        <v>251728088</v>
      </c>
      <c r="M365" s="69">
        <f>+K365+L365</f>
        <v>496728088</v>
      </c>
      <c r="N365" s="71" t="s">
        <v>73</v>
      </c>
      <c r="O365" s="71" t="s">
        <v>51</v>
      </c>
      <c r="P365" s="66">
        <v>2024</v>
      </c>
      <c r="Q365" s="66" t="s">
        <v>30</v>
      </c>
      <c r="R365" s="66"/>
      <c r="S365" s="66"/>
      <c r="T365" s="70">
        <v>0.7</v>
      </c>
      <c r="U365" s="66"/>
    </row>
    <row r="366" spans="1:21" ht="13.9">
      <c r="A366" s="68"/>
      <c r="B366" s="71" t="s">
        <v>820</v>
      </c>
      <c r="C366" s="66" t="s">
        <v>22</v>
      </c>
      <c r="D366" s="66" t="s">
        <v>23</v>
      </c>
      <c r="E366" s="81">
        <v>4600016230</v>
      </c>
      <c r="F366" s="71" t="s">
        <v>208</v>
      </c>
      <c r="G366" s="66" t="s">
        <v>822</v>
      </c>
      <c r="H366" s="66">
        <v>21.4</v>
      </c>
      <c r="I366" s="66"/>
      <c r="J366" s="66"/>
      <c r="K366" s="69">
        <v>28458927</v>
      </c>
      <c r="L366" s="69">
        <v>0</v>
      </c>
      <c r="M366" s="69">
        <f>+K366</f>
        <v>28458927</v>
      </c>
      <c r="N366" s="71" t="s">
        <v>28</v>
      </c>
      <c r="O366" s="71" t="s">
        <v>51</v>
      </c>
      <c r="P366" s="66">
        <v>2024</v>
      </c>
      <c r="Q366" s="66"/>
      <c r="R366" s="66"/>
      <c r="S366" s="66"/>
      <c r="T366" s="70">
        <v>1</v>
      </c>
      <c r="U366" s="66" t="s">
        <v>81</v>
      </c>
    </row>
    <row r="367" spans="1:21" ht="13.9">
      <c r="A367" s="66">
        <v>96</v>
      </c>
      <c r="B367" s="71" t="s">
        <v>820</v>
      </c>
      <c r="C367" s="66" t="s">
        <v>22</v>
      </c>
      <c r="D367" s="66" t="s">
        <v>42</v>
      </c>
      <c r="E367" s="81">
        <v>2024003050243</v>
      </c>
      <c r="F367" s="71" t="s">
        <v>75</v>
      </c>
      <c r="G367" s="66" t="s">
        <v>105</v>
      </c>
      <c r="H367" s="66">
        <v>2</v>
      </c>
      <c r="I367" s="66"/>
      <c r="J367" s="66"/>
      <c r="K367" s="2">
        <v>4047973265</v>
      </c>
      <c r="L367" s="69">
        <v>859194675</v>
      </c>
      <c r="M367" s="2">
        <f>+K367+L367</f>
        <v>4907167940</v>
      </c>
      <c r="N367" s="2" t="s">
        <v>37</v>
      </c>
      <c r="O367" s="2" t="s">
        <v>45</v>
      </c>
      <c r="P367" s="66">
        <v>2024</v>
      </c>
      <c r="Q367" s="66" t="s">
        <v>52</v>
      </c>
      <c r="R367" s="66"/>
      <c r="S367" s="66"/>
      <c r="T367" s="80">
        <v>1</v>
      </c>
      <c r="U367" s="71"/>
    </row>
    <row r="368" spans="1:21" ht="27.6" hidden="1">
      <c r="A368" s="99">
        <v>97</v>
      </c>
      <c r="B368" s="71" t="s">
        <v>823</v>
      </c>
      <c r="C368" s="66" t="s">
        <v>149</v>
      </c>
      <c r="D368" s="66" t="s">
        <v>23</v>
      </c>
      <c r="E368" s="81" t="s">
        <v>492</v>
      </c>
      <c r="F368" s="71" t="s">
        <v>493</v>
      </c>
      <c r="G368" s="71" t="s">
        <v>824</v>
      </c>
      <c r="H368" s="71" t="s">
        <v>825</v>
      </c>
      <c r="I368" s="71"/>
      <c r="J368" s="71"/>
      <c r="K368" s="79"/>
      <c r="L368" s="79"/>
      <c r="M368" s="2">
        <v>37775453509</v>
      </c>
      <c r="N368" s="79" t="s">
        <v>496</v>
      </c>
      <c r="O368" s="69" t="s">
        <v>96</v>
      </c>
      <c r="P368" s="66">
        <v>2023</v>
      </c>
      <c r="Q368" s="66"/>
      <c r="R368" s="66"/>
      <c r="S368" s="66"/>
      <c r="T368" s="80">
        <v>0.95</v>
      </c>
      <c r="U368" s="66" t="s">
        <v>385</v>
      </c>
    </row>
    <row r="369" spans="1:21" ht="41.45">
      <c r="A369" s="104"/>
      <c r="B369" s="71" t="s">
        <v>823</v>
      </c>
      <c r="C369" s="66" t="s">
        <v>149</v>
      </c>
      <c r="D369" s="66" t="s">
        <v>131</v>
      </c>
      <c r="E369" s="81">
        <v>4600017793</v>
      </c>
      <c r="F369" s="71" t="s">
        <v>453</v>
      </c>
      <c r="G369" s="71" t="s">
        <v>826</v>
      </c>
      <c r="H369" s="71">
        <v>5.3280000000000003</v>
      </c>
      <c r="I369" s="71" t="s">
        <v>26</v>
      </c>
      <c r="J369" s="71" t="s">
        <v>134</v>
      </c>
      <c r="K369" s="2">
        <v>17166424376</v>
      </c>
      <c r="L369" s="69">
        <v>0</v>
      </c>
      <c r="M369" s="42">
        <f>+K369</f>
        <v>17166424376</v>
      </c>
      <c r="N369" s="71" t="s">
        <v>28</v>
      </c>
      <c r="O369" s="71" t="s">
        <v>78</v>
      </c>
      <c r="P369" s="66">
        <v>2024</v>
      </c>
      <c r="Q369" s="66" t="s">
        <v>30</v>
      </c>
      <c r="R369" s="66"/>
      <c r="S369" s="66"/>
      <c r="T369" s="70">
        <v>0.87</v>
      </c>
      <c r="U369" s="71" t="s">
        <v>136</v>
      </c>
    </row>
    <row r="370" spans="1:21" ht="27.6">
      <c r="A370" s="104"/>
      <c r="B370" s="71" t="s">
        <v>823</v>
      </c>
      <c r="C370" s="66" t="s">
        <v>149</v>
      </c>
      <c r="D370" s="66" t="s">
        <v>23</v>
      </c>
      <c r="E370" s="81"/>
      <c r="F370" s="71" t="s">
        <v>151</v>
      </c>
      <c r="G370" s="71" t="s">
        <v>799</v>
      </c>
      <c r="H370" s="71" t="s">
        <v>800</v>
      </c>
      <c r="I370" s="71"/>
      <c r="J370" s="71"/>
      <c r="K370" s="79">
        <f>6420624640+504320210</f>
        <v>6924944850</v>
      </c>
      <c r="L370" s="79">
        <v>0</v>
      </c>
      <c r="M370" s="2">
        <f>+K370</f>
        <v>6924944850</v>
      </c>
      <c r="N370" s="79" t="s">
        <v>28</v>
      </c>
      <c r="O370" s="71" t="s">
        <v>96</v>
      </c>
      <c r="P370" s="66">
        <v>2024</v>
      </c>
      <c r="Q370" s="66"/>
      <c r="R370" s="66"/>
      <c r="S370" s="66"/>
      <c r="T370" s="70">
        <v>0.98</v>
      </c>
      <c r="U370" s="66" t="s">
        <v>343</v>
      </c>
    </row>
    <row r="371" spans="1:21" ht="27.6">
      <c r="A371" s="104"/>
      <c r="B371" s="71" t="s">
        <v>823</v>
      </c>
      <c r="C371" s="66" t="s">
        <v>149</v>
      </c>
      <c r="D371" s="66" t="s">
        <v>42</v>
      </c>
      <c r="E371" s="81" t="s">
        <v>827</v>
      </c>
      <c r="F371" s="71" t="s">
        <v>80</v>
      </c>
      <c r="G371" s="66" t="s">
        <v>76</v>
      </c>
      <c r="H371" s="66">
        <v>1</v>
      </c>
      <c r="I371" s="66"/>
      <c r="J371" s="66"/>
      <c r="K371" s="2">
        <v>349987858</v>
      </c>
      <c r="L371" s="69">
        <v>605154389</v>
      </c>
      <c r="M371" s="69">
        <f>+K371+L371</f>
        <v>955142247</v>
      </c>
      <c r="N371" s="2" t="s">
        <v>73</v>
      </c>
      <c r="O371" s="2" t="s">
        <v>51</v>
      </c>
      <c r="P371" s="66">
        <v>2024</v>
      </c>
      <c r="Q371" s="66" t="s">
        <v>38</v>
      </c>
      <c r="R371" s="66"/>
      <c r="S371" s="66"/>
      <c r="T371" s="70">
        <v>1</v>
      </c>
      <c r="U371" s="66" t="s">
        <v>69</v>
      </c>
    </row>
    <row r="372" spans="1:21" ht="27.6">
      <c r="A372" s="100"/>
      <c r="B372" s="71" t="s">
        <v>823</v>
      </c>
      <c r="C372" s="66" t="s">
        <v>149</v>
      </c>
      <c r="D372" s="66" t="s">
        <v>42</v>
      </c>
      <c r="E372" s="81">
        <v>2024003050245</v>
      </c>
      <c r="F372" s="71" t="s">
        <v>75</v>
      </c>
      <c r="G372" s="66" t="s">
        <v>828</v>
      </c>
      <c r="H372" s="66">
        <v>3.165</v>
      </c>
      <c r="I372" s="66"/>
      <c r="J372" s="66"/>
      <c r="K372" s="69">
        <f>+M372*0.8</f>
        <v>4861415983.1999998</v>
      </c>
      <c r="L372" s="69">
        <f>+M372*0.2</f>
        <v>1215353995.8</v>
      </c>
      <c r="M372" s="69">
        <v>6076769979</v>
      </c>
      <c r="N372" s="2" t="s">
        <v>37</v>
      </c>
      <c r="O372" s="2" t="s">
        <v>45</v>
      </c>
      <c r="P372" s="66">
        <v>2024</v>
      </c>
      <c r="Q372" s="66" t="s">
        <v>30</v>
      </c>
      <c r="R372" s="66"/>
      <c r="S372" s="66"/>
      <c r="T372" s="70">
        <v>0.55000000000000004</v>
      </c>
      <c r="U372" s="71"/>
    </row>
    <row r="373" spans="1:21" ht="148.9" hidden="1" customHeight="1">
      <c r="A373" s="93">
        <v>98</v>
      </c>
      <c r="B373" s="71" t="s">
        <v>829</v>
      </c>
      <c r="C373" s="66" t="s">
        <v>181</v>
      </c>
      <c r="D373" s="66" t="s">
        <v>23</v>
      </c>
      <c r="E373" s="81"/>
      <c r="F373" s="71" t="s">
        <v>830</v>
      </c>
      <c r="G373" s="71" t="s">
        <v>831</v>
      </c>
      <c r="H373" s="71" t="s">
        <v>832</v>
      </c>
      <c r="I373" s="71"/>
      <c r="J373" s="71"/>
      <c r="K373" s="79">
        <f>15793864443/2</f>
        <v>7896932221.5</v>
      </c>
      <c r="L373" s="79">
        <v>0</v>
      </c>
      <c r="M373" s="69">
        <f>15793864443/2</f>
        <v>7896932221.5</v>
      </c>
      <c r="N373" s="71" t="s">
        <v>28</v>
      </c>
      <c r="O373" s="71" t="s">
        <v>96</v>
      </c>
      <c r="P373" s="66">
        <v>2023</v>
      </c>
      <c r="Q373" s="66"/>
      <c r="R373" s="66"/>
      <c r="S373" s="66"/>
      <c r="T373" s="70">
        <v>1</v>
      </c>
      <c r="U373" s="66" t="s">
        <v>81</v>
      </c>
    </row>
    <row r="374" spans="1:21" ht="40.15" customHeight="1">
      <c r="A374" s="93"/>
      <c r="B374" s="71" t="s">
        <v>829</v>
      </c>
      <c r="C374" s="66" t="s">
        <v>181</v>
      </c>
      <c r="D374" s="66" t="s">
        <v>23</v>
      </c>
      <c r="E374" s="81"/>
      <c r="F374" s="71" t="s">
        <v>101</v>
      </c>
      <c r="G374" s="71" t="s">
        <v>833</v>
      </c>
      <c r="H374" s="71" t="s">
        <v>834</v>
      </c>
      <c r="I374" s="71"/>
      <c r="J374" s="71"/>
      <c r="K374" s="79">
        <f>1530782644*22</f>
        <v>33677218168</v>
      </c>
      <c r="L374" s="79">
        <v>0</v>
      </c>
      <c r="M374" s="69">
        <f>+K374</f>
        <v>33677218168</v>
      </c>
      <c r="N374" s="2" t="s">
        <v>28</v>
      </c>
      <c r="O374" s="2" t="s">
        <v>96</v>
      </c>
      <c r="P374" s="66">
        <v>2025</v>
      </c>
      <c r="Q374" s="66" t="s">
        <v>30</v>
      </c>
      <c r="R374" s="85"/>
      <c r="S374" s="87"/>
      <c r="T374" s="80"/>
      <c r="U374" s="66" t="s">
        <v>154</v>
      </c>
    </row>
    <row r="375" spans="1:21" ht="34.9" customHeight="1">
      <c r="A375" s="93"/>
      <c r="B375" s="71" t="s">
        <v>829</v>
      </c>
      <c r="C375" s="66" t="s">
        <v>181</v>
      </c>
      <c r="D375" s="66" t="s">
        <v>23</v>
      </c>
      <c r="E375" s="81"/>
      <c r="F375" s="71" t="s">
        <v>101</v>
      </c>
      <c r="G375" s="71" t="s">
        <v>835</v>
      </c>
      <c r="H375" s="71" t="s">
        <v>836</v>
      </c>
      <c r="I375" s="71"/>
      <c r="J375" s="71"/>
      <c r="K375" s="79">
        <f>1530782644*30</f>
        <v>45923479320</v>
      </c>
      <c r="L375" s="79">
        <v>0</v>
      </c>
      <c r="M375" s="69">
        <f>+K375</f>
        <v>45923479320</v>
      </c>
      <c r="N375" s="2" t="s">
        <v>28</v>
      </c>
      <c r="O375" s="2" t="s">
        <v>96</v>
      </c>
      <c r="P375" s="66">
        <v>2025</v>
      </c>
      <c r="Q375" s="66" t="s">
        <v>30</v>
      </c>
      <c r="R375" s="85"/>
      <c r="S375" s="87"/>
      <c r="T375" s="80"/>
      <c r="U375" s="66" t="s">
        <v>154</v>
      </c>
    </row>
    <row r="376" spans="1:21" ht="37.9" customHeight="1">
      <c r="A376" s="93"/>
      <c r="B376" s="71" t="s">
        <v>829</v>
      </c>
      <c r="C376" s="66" t="s">
        <v>181</v>
      </c>
      <c r="D376" s="66" t="s">
        <v>23</v>
      </c>
      <c r="E376" s="81"/>
      <c r="F376" s="71" t="s">
        <v>101</v>
      </c>
      <c r="G376" s="71" t="s">
        <v>837</v>
      </c>
      <c r="H376" s="71" t="s">
        <v>838</v>
      </c>
      <c r="I376" s="71"/>
      <c r="J376" s="71"/>
      <c r="K376" s="79">
        <f>1530782644*58.65</f>
        <v>89780402070.599991</v>
      </c>
      <c r="L376" s="79">
        <v>0</v>
      </c>
      <c r="M376" s="69">
        <f>+K376</f>
        <v>89780402070.599991</v>
      </c>
      <c r="N376" s="2" t="s">
        <v>28</v>
      </c>
      <c r="O376" s="2" t="s">
        <v>96</v>
      </c>
      <c r="P376" s="66">
        <v>2025</v>
      </c>
      <c r="Q376" s="66" t="s">
        <v>30</v>
      </c>
      <c r="R376" s="85"/>
      <c r="S376" s="87"/>
      <c r="T376" s="80"/>
      <c r="U376" s="71" t="s">
        <v>708</v>
      </c>
    </row>
    <row r="377" spans="1:21" ht="122.45" hidden="1" customHeight="1">
      <c r="A377" s="93"/>
      <c r="B377" s="71" t="s">
        <v>829</v>
      </c>
      <c r="C377" s="66" t="s">
        <v>181</v>
      </c>
      <c r="D377" s="66" t="s">
        <v>23</v>
      </c>
      <c r="E377" s="81"/>
      <c r="F377" s="71" t="s">
        <v>839</v>
      </c>
      <c r="G377" s="71" t="s">
        <v>840</v>
      </c>
      <c r="H377" s="71" t="s">
        <v>840</v>
      </c>
      <c r="I377" s="71"/>
      <c r="J377" s="71"/>
      <c r="K377" s="79"/>
      <c r="L377" s="79"/>
      <c r="M377" s="69">
        <v>26983903880</v>
      </c>
      <c r="N377" s="2" t="s">
        <v>841</v>
      </c>
      <c r="O377" s="2" t="s">
        <v>96</v>
      </c>
      <c r="P377" s="66"/>
      <c r="Q377" s="66"/>
      <c r="R377" s="66"/>
      <c r="S377" s="66"/>
      <c r="T377" s="70"/>
      <c r="U377" s="71" t="s">
        <v>842</v>
      </c>
    </row>
    <row r="378" spans="1:21" ht="61.15" customHeight="1">
      <c r="A378" s="93"/>
      <c r="B378" s="71" t="s">
        <v>829</v>
      </c>
      <c r="C378" s="66" t="s">
        <v>181</v>
      </c>
      <c r="D378" s="66" t="s">
        <v>174</v>
      </c>
      <c r="E378" s="81" t="s">
        <v>62</v>
      </c>
      <c r="F378" s="71" t="s">
        <v>175</v>
      </c>
      <c r="G378" s="71" t="s">
        <v>843</v>
      </c>
      <c r="H378" s="71" t="s">
        <v>843</v>
      </c>
      <c r="I378" s="71"/>
      <c r="J378" s="71"/>
      <c r="K378" s="79">
        <v>1949820000</v>
      </c>
      <c r="L378" s="79">
        <v>0</v>
      </c>
      <c r="M378" s="69">
        <f>+K378</f>
        <v>1949820000</v>
      </c>
      <c r="N378" s="2" t="s">
        <v>37</v>
      </c>
      <c r="O378" s="2"/>
      <c r="P378" s="66">
        <v>2026</v>
      </c>
      <c r="Q378" s="66" t="s">
        <v>177</v>
      </c>
      <c r="R378" s="66"/>
      <c r="S378" s="66"/>
      <c r="T378" s="70"/>
      <c r="U378" s="71" t="s">
        <v>178</v>
      </c>
    </row>
    <row r="379" spans="1:21" ht="40.9" customHeight="1">
      <c r="A379" s="93"/>
      <c r="B379" s="71" t="s">
        <v>829</v>
      </c>
      <c r="C379" s="66" t="s">
        <v>181</v>
      </c>
      <c r="D379" s="66" t="s">
        <v>174</v>
      </c>
      <c r="E379" s="81" t="s">
        <v>62</v>
      </c>
      <c r="F379" s="71" t="s">
        <v>175</v>
      </c>
      <c r="G379" s="71" t="s">
        <v>844</v>
      </c>
      <c r="H379" s="71" t="s">
        <v>844</v>
      </c>
      <c r="I379" s="71"/>
      <c r="J379" s="71"/>
      <c r="K379" s="79">
        <v>1749667000</v>
      </c>
      <c r="L379" s="79">
        <v>0</v>
      </c>
      <c r="M379" s="69">
        <f>+K379</f>
        <v>1749667000</v>
      </c>
      <c r="N379" s="2" t="s">
        <v>37</v>
      </c>
      <c r="O379" s="2"/>
      <c r="P379" s="66">
        <v>2026</v>
      </c>
      <c r="Q379" s="66" t="s">
        <v>177</v>
      </c>
      <c r="R379" s="66"/>
      <c r="S379" s="66"/>
      <c r="T379" s="70"/>
      <c r="U379" s="71" t="s">
        <v>845</v>
      </c>
    </row>
    <row r="380" spans="1:21" ht="61.15" customHeight="1">
      <c r="A380" s="93"/>
      <c r="B380" s="71" t="s">
        <v>829</v>
      </c>
      <c r="C380" s="66" t="s">
        <v>181</v>
      </c>
      <c r="D380" s="66" t="s">
        <v>23</v>
      </c>
      <c r="E380" s="81"/>
      <c r="F380" s="71" t="s">
        <v>846</v>
      </c>
      <c r="G380" s="71"/>
      <c r="H380" s="71"/>
      <c r="I380" s="71"/>
      <c r="J380" s="71"/>
      <c r="K380" s="69">
        <v>4985312000</v>
      </c>
      <c r="L380" s="79">
        <v>0</v>
      </c>
      <c r="M380" s="69">
        <f>+K380</f>
        <v>4985312000</v>
      </c>
      <c r="N380" s="2" t="s">
        <v>28</v>
      </c>
      <c r="O380" s="2" t="s">
        <v>96</v>
      </c>
      <c r="P380" s="66">
        <v>2025</v>
      </c>
      <c r="Q380" s="66"/>
      <c r="R380" s="66"/>
      <c r="S380" s="66"/>
      <c r="T380" s="70"/>
      <c r="U380" s="71" t="s">
        <v>847</v>
      </c>
    </row>
    <row r="381" spans="1:21" ht="13.9">
      <c r="A381" s="93"/>
      <c r="B381" s="71" t="s">
        <v>829</v>
      </c>
      <c r="C381" s="66" t="s">
        <v>181</v>
      </c>
      <c r="D381" s="66" t="s">
        <v>42</v>
      </c>
      <c r="E381" s="81" t="s">
        <v>848</v>
      </c>
      <c r="F381" s="71" t="s">
        <v>849</v>
      </c>
      <c r="G381" s="71" t="s">
        <v>399</v>
      </c>
      <c r="H381" s="71">
        <v>0.5</v>
      </c>
      <c r="I381" s="71"/>
      <c r="J381" s="71"/>
      <c r="K381" s="69">
        <v>175000000</v>
      </c>
      <c r="L381" s="79"/>
      <c r="M381" s="69"/>
      <c r="N381" s="2" t="s">
        <v>73</v>
      </c>
      <c r="O381" s="2" t="s">
        <v>51</v>
      </c>
      <c r="P381" s="66">
        <v>2025</v>
      </c>
      <c r="Q381" s="66" t="s">
        <v>30</v>
      </c>
      <c r="R381" s="66"/>
      <c r="S381" s="66"/>
      <c r="T381" s="70">
        <v>0.2</v>
      </c>
      <c r="U381" s="71"/>
    </row>
    <row r="382" spans="1:21" ht="13.9">
      <c r="A382" s="93"/>
      <c r="B382" s="71" t="s">
        <v>829</v>
      </c>
      <c r="C382" s="66" t="s">
        <v>181</v>
      </c>
      <c r="D382" s="66" t="s">
        <v>42</v>
      </c>
      <c r="E382" s="81" t="s">
        <v>850</v>
      </c>
      <c r="F382" s="71" t="s">
        <v>851</v>
      </c>
      <c r="G382" s="66" t="s">
        <v>76</v>
      </c>
      <c r="H382" s="66">
        <v>1</v>
      </c>
      <c r="I382" s="66"/>
      <c r="J382" s="66"/>
      <c r="K382" s="2">
        <v>340305002</v>
      </c>
      <c r="L382" s="69">
        <v>897052630</v>
      </c>
      <c r="M382" s="69">
        <f>+L382+K382</f>
        <v>1237357632</v>
      </c>
      <c r="N382" s="71" t="s">
        <v>73</v>
      </c>
      <c r="O382" s="71" t="s">
        <v>51</v>
      </c>
      <c r="P382" s="66">
        <v>2024</v>
      </c>
      <c r="Q382" s="66" t="s">
        <v>115</v>
      </c>
      <c r="R382" s="66"/>
      <c r="S382" s="66"/>
      <c r="T382" s="80">
        <v>1</v>
      </c>
      <c r="U382" s="71"/>
    </row>
    <row r="383" spans="1:21" ht="13.9">
      <c r="A383" s="93"/>
      <c r="B383" s="71" t="s">
        <v>829</v>
      </c>
      <c r="C383" s="66" t="s">
        <v>181</v>
      </c>
      <c r="D383" s="66" t="s">
        <v>23</v>
      </c>
      <c r="E383" s="81">
        <v>4600017684</v>
      </c>
      <c r="F383" s="71" t="s">
        <v>208</v>
      </c>
      <c r="G383" s="66" t="s">
        <v>852</v>
      </c>
      <c r="H383" s="66">
        <v>32.5</v>
      </c>
      <c r="I383" s="66"/>
      <c r="J383" s="66"/>
      <c r="K383" s="2">
        <v>43219595</v>
      </c>
      <c r="L383" s="69">
        <v>0</v>
      </c>
      <c r="M383" s="69">
        <f>+K383</f>
        <v>43219595</v>
      </c>
      <c r="N383" s="71" t="s">
        <v>28</v>
      </c>
      <c r="O383" s="71" t="s">
        <v>51</v>
      </c>
      <c r="P383" s="66">
        <v>2024</v>
      </c>
      <c r="Q383" s="66"/>
      <c r="R383" s="66"/>
      <c r="S383" s="66"/>
      <c r="T383" s="80"/>
      <c r="U383" s="71" t="s">
        <v>853</v>
      </c>
    </row>
    <row r="384" spans="1:21" ht="13.9">
      <c r="A384" s="93"/>
      <c r="B384" s="71" t="s">
        <v>829</v>
      </c>
      <c r="C384" s="66" t="s">
        <v>181</v>
      </c>
      <c r="D384" s="66" t="s">
        <v>42</v>
      </c>
      <c r="E384" s="81" t="s">
        <v>854</v>
      </c>
      <c r="F384" s="71" t="s">
        <v>855</v>
      </c>
      <c r="G384" s="66" t="s">
        <v>76</v>
      </c>
      <c r="H384" s="66">
        <v>1</v>
      </c>
      <c r="I384" s="66"/>
      <c r="J384" s="66"/>
      <c r="K384" s="2">
        <v>350000000</v>
      </c>
      <c r="L384" s="69">
        <v>1199997999</v>
      </c>
      <c r="M384" s="69">
        <f>+K384+L384</f>
        <v>1549997999</v>
      </c>
      <c r="N384" s="71" t="s">
        <v>73</v>
      </c>
      <c r="O384" s="71" t="s">
        <v>51</v>
      </c>
      <c r="P384" s="66">
        <v>2024</v>
      </c>
      <c r="Q384" s="66" t="s">
        <v>30</v>
      </c>
      <c r="R384" s="66"/>
      <c r="S384" s="66"/>
      <c r="T384" s="80">
        <v>0.9</v>
      </c>
      <c r="U384" s="71"/>
    </row>
    <row r="385" spans="1:21" ht="27.6">
      <c r="A385" s="100">
        <v>99</v>
      </c>
      <c r="B385" s="71" t="s">
        <v>856</v>
      </c>
      <c r="C385" s="66" t="s">
        <v>22</v>
      </c>
      <c r="D385" s="66" t="s">
        <v>23</v>
      </c>
      <c r="E385" s="81">
        <v>4600018900</v>
      </c>
      <c r="F385" s="71" t="s">
        <v>101</v>
      </c>
      <c r="G385" s="71" t="s">
        <v>60</v>
      </c>
      <c r="H385" s="71"/>
      <c r="I385" s="71"/>
      <c r="J385" s="71"/>
      <c r="K385" s="79">
        <f>+'Estabilización datos '!G3*25.72</f>
        <v>44378055078.30941</v>
      </c>
      <c r="L385" s="69">
        <v>0</v>
      </c>
      <c r="M385" s="69">
        <f>+K385</f>
        <v>44378055078.30941</v>
      </c>
      <c r="N385" s="71" t="s">
        <v>28</v>
      </c>
      <c r="O385" s="66" t="s">
        <v>29</v>
      </c>
      <c r="P385" s="66">
        <v>2025</v>
      </c>
      <c r="Q385" s="66" t="s">
        <v>99</v>
      </c>
      <c r="R385" s="85"/>
      <c r="S385" s="87"/>
      <c r="T385" s="80"/>
      <c r="U385" s="76" t="s">
        <v>461</v>
      </c>
    </row>
    <row r="386" spans="1:21" ht="163.15" customHeight="1">
      <c r="A386" s="93"/>
      <c r="B386" s="71" t="s">
        <v>857</v>
      </c>
      <c r="C386" s="66" t="s">
        <v>22</v>
      </c>
      <c r="D386" s="66" t="s">
        <v>23</v>
      </c>
      <c r="E386" s="81">
        <v>20240214000263</v>
      </c>
      <c r="F386" s="71" t="s">
        <v>858</v>
      </c>
      <c r="G386" s="66" t="s">
        <v>859</v>
      </c>
      <c r="H386" s="66">
        <v>1.41</v>
      </c>
      <c r="I386" s="66"/>
      <c r="J386" s="66"/>
      <c r="K386" s="69" t="s">
        <v>162</v>
      </c>
      <c r="L386" s="69" t="s">
        <v>162</v>
      </c>
      <c r="M386" s="2">
        <v>13127187510</v>
      </c>
      <c r="N386" s="71" t="s">
        <v>98</v>
      </c>
      <c r="O386" s="71" t="s">
        <v>62</v>
      </c>
      <c r="P386" s="66">
        <v>2024</v>
      </c>
      <c r="Q386" s="66"/>
      <c r="R386" s="66"/>
      <c r="S386" s="66"/>
      <c r="T386" s="80">
        <v>0.09</v>
      </c>
      <c r="U386" s="71" t="s">
        <v>30</v>
      </c>
    </row>
    <row r="387" spans="1:21" ht="61.15" customHeight="1">
      <c r="A387" s="93"/>
      <c r="B387" s="71" t="s">
        <v>857</v>
      </c>
      <c r="C387" s="66" t="s">
        <v>22</v>
      </c>
      <c r="D387" s="66" t="s">
        <v>42</v>
      </c>
      <c r="E387" s="81">
        <v>2025003050021</v>
      </c>
      <c r="F387" s="71" t="s">
        <v>80</v>
      </c>
      <c r="G387" s="66" t="s">
        <v>105</v>
      </c>
      <c r="H387" s="66">
        <v>2</v>
      </c>
      <c r="I387" s="66"/>
      <c r="J387" s="66"/>
      <c r="K387" s="2">
        <f>4847192489*0.8</f>
        <v>3877753991.2000003</v>
      </c>
      <c r="L387" s="69">
        <f>4847192489*0.2</f>
        <v>969438497.80000007</v>
      </c>
      <c r="M387" s="69">
        <f>+K387+L387</f>
        <v>4847192489</v>
      </c>
      <c r="N387" s="2" t="s">
        <v>37</v>
      </c>
      <c r="O387" s="2" t="s">
        <v>45</v>
      </c>
      <c r="P387" s="66">
        <v>2025</v>
      </c>
      <c r="Q387" s="66" t="s">
        <v>30</v>
      </c>
      <c r="R387" s="66"/>
      <c r="S387" s="66"/>
      <c r="T387" s="80">
        <v>0.75</v>
      </c>
      <c r="U387" s="71"/>
    </row>
    <row r="388" spans="1:21" ht="13.9">
      <c r="A388" s="93"/>
      <c r="B388" s="71" t="s">
        <v>857</v>
      </c>
      <c r="C388" s="66" t="s">
        <v>22</v>
      </c>
      <c r="D388" s="66" t="s">
        <v>42</v>
      </c>
      <c r="E388" s="81" t="s">
        <v>860</v>
      </c>
      <c r="F388" s="71" t="s">
        <v>80</v>
      </c>
      <c r="G388" s="66" t="s">
        <v>76</v>
      </c>
      <c r="H388" s="66">
        <v>1</v>
      </c>
      <c r="I388" s="66"/>
      <c r="J388" s="66"/>
      <c r="K388" s="69">
        <v>349986389</v>
      </c>
      <c r="L388" s="69">
        <v>295663611</v>
      </c>
      <c r="M388" s="69">
        <f>+K388+L388</f>
        <v>645650000</v>
      </c>
      <c r="N388" s="69" t="s">
        <v>73</v>
      </c>
      <c r="O388" s="69" t="s">
        <v>51</v>
      </c>
      <c r="P388" s="66">
        <v>2024</v>
      </c>
      <c r="Q388" s="66"/>
      <c r="R388" s="66"/>
      <c r="S388" s="66"/>
      <c r="T388" s="70">
        <v>1</v>
      </c>
      <c r="U388" s="66" t="s">
        <v>81</v>
      </c>
    </row>
    <row r="389" spans="1:21" ht="13.9">
      <c r="A389" s="93"/>
      <c r="B389" s="71" t="s">
        <v>856</v>
      </c>
      <c r="C389" s="66" t="s">
        <v>22</v>
      </c>
      <c r="D389" s="66" t="s">
        <v>23</v>
      </c>
      <c r="E389" s="81">
        <v>4600017685</v>
      </c>
      <c r="F389" s="71" t="s">
        <v>208</v>
      </c>
      <c r="G389" s="66" t="s">
        <v>861</v>
      </c>
      <c r="H389" s="66">
        <v>54.4</v>
      </c>
      <c r="I389" s="66"/>
      <c r="J389" s="66"/>
      <c r="K389" s="69">
        <v>72344104</v>
      </c>
      <c r="L389" s="69">
        <v>0</v>
      </c>
      <c r="M389" s="69">
        <f>+K389</f>
        <v>72344104</v>
      </c>
      <c r="N389" s="69" t="s">
        <v>28</v>
      </c>
      <c r="O389" s="69" t="s">
        <v>51</v>
      </c>
      <c r="P389" s="66">
        <v>2024</v>
      </c>
      <c r="Q389" s="66"/>
      <c r="R389" s="66"/>
      <c r="S389" s="66"/>
      <c r="T389" s="70">
        <v>1</v>
      </c>
      <c r="U389" s="66" t="s">
        <v>115</v>
      </c>
    </row>
    <row r="390" spans="1:21" ht="13.9">
      <c r="A390" s="93"/>
      <c r="B390" s="71" t="s">
        <v>856</v>
      </c>
      <c r="C390" s="66" t="s">
        <v>22</v>
      </c>
      <c r="D390" s="66" t="s">
        <v>42</v>
      </c>
      <c r="E390" s="81" t="s">
        <v>862</v>
      </c>
      <c r="F390" s="71" t="s">
        <v>863</v>
      </c>
      <c r="G390" s="66" t="s">
        <v>204</v>
      </c>
      <c r="H390" s="66">
        <v>0.1</v>
      </c>
      <c r="I390" s="66"/>
      <c r="J390" s="66"/>
      <c r="K390" s="69">
        <v>121406362</v>
      </c>
      <c r="L390" s="69">
        <v>11436244</v>
      </c>
      <c r="M390" s="69">
        <f>+K390+L390</f>
        <v>132842606</v>
      </c>
      <c r="N390" s="69" t="s">
        <v>28</v>
      </c>
      <c r="O390" s="69" t="s">
        <v>51</v>
      </c>
      <c r="P390" s="66">
        <v>2025</v>
      </c>
      <c r="Q390" s="66" t="s">
        <v>52</v>
      </c>
      <c r="R390" s="66"/>
      <c r="S390" s="66"/>
      <c r="T390" s="70">
        <v>1</v>
      </c>
      <c r="U390" s="71" t="s">
        <v>74</v>
      </c>
    </row>
    <row r="391" spans="1:21" ht="13.9">
      <c r="A391" s="93"/>
      <c r="B391" s="71" t="s">
        <v>856</v>
      </c>
      <c r="C391" s="66" t="s">
        <v>22</v>
      </c>
      <c r="D391" s="66" t="s">
        <v>174</v>
      </c>
      <c r="E391" s="81" t="s">
        <v>62</v>
      </c>
      <c r="F391" s="71" t="s">
        <v>647</v>
      </c>
      <c r="G391" s="66" t="s">
        <v>864</v>
      </c>
      <c r="H391" s="66"/>
      <c r="I391" s="66"/>
      <c r="J391" s="66"/>
      <c r="K391" s="69"/>
      <c r="L391" s="69"/>
      <c r="M391" s="69"/>
      <c r="N391" s="69"/>
      <c r="O391" s="69" t="s">
        <v>45</v>
      </c>
      <c r="P391" s="66">
        <v>2026</v>
      </c>
      <c r="Q391" s="66"/>
      <c r="R391" s="66"/>
      <c r="S391" s="66"/>
      <c r="T391" s="70"/>
      <c r="U391" s="66" t="s">
        <v>130</v>
      </c>
    </row>
    <row r="392" spans="1:21" ht="13.9">
      <c r="A392" s="93"/>
      <c r="B392" s="66" t="s">
        <v>856</v>
      </c>
      <c r="C392" s="66" t="s">
        <v>22</v>
      </c>
      <c r="D392" s="66" t="s">
        <v>42</v>
      </c>
      <c r="E392" s="81" t="s">
        <v>865</v>
      </c>
      <c r="F392" s="71" t="s">
        <v>80</v>
      </c>
      <c r="G392" s="66" t="s">
        <v>76</v>
      </c>
      <c r="H392" s="66">
        <v>1</v>
      </c>
      <c r="I392" s="66"/>
      <c r="J392" s="66"/>
      <c r="K392" s="2">
        <v>350000000</v>
      </c>
      <c r="L392" s="69">
        <v>300000000</v>
      </c>
      <c r="M392" s="69">
        <f>+K392+L392</f>
        <v>650000000</v>
      </c>
      <c r="N392" s="71" t="s">
        <v>73</v>
      </c>
      <c r="O392" s="71" t="s">
        <v>51</v>
      </c>
      <c r="P392" s="66">
        <v>2024</v>
      </c>
      <c r="Q392" s="66"/>
      <c r="R392" s="66"/>
      <c r="S392" s="66"/>
      <c r="T392" s="80">
        <v>1</v>
      </c>
      <c r="U392" s="71" t="s">
        <v>74</v>
      </c>
    </row>
    <row r="393" spans="1:21" ht="148.15" hidden="1" customHeight="1">
      <c r="A393" s="66"/>
      <c r="B393" s="66" t="s">
        <v>866</v>
      </c>
      <c r="C393" s="66" t="s">
        <v>90</v>
      </c>
      <c r="D393" s="66" t="s">
        <v>23</v>
      </c>
      <c r="E393" s="81"/>
      <c r="F393" s="71" t="s">
        <v>94</v>
      </c>
      <c r="G393" s="71" t="s">
        <v>867</v>
      </c>
      <c r="H393" s="71">
        <v>1</v>
      </c>
      <c r="I393" s="71"/>
      <c r="J393" s="71"/>
      <c r="K393" s="2">
        <v>6031426552</v>
      </c>
      <c r="L393" s="79">
        <v>0</v>
      </c>
      <c r="M393" s="2">
        <v>6031426552</v>
      </c>
      <c r="N393" s="2" t="s">
        <v>28</v>
      </c>
      <c r="O393" s="2" t="s">
        <v>96</v>
      </c>
      <c r="P393" s="66">
        <v>2023</v>
      </c>
      <c r="Q393" s="66" t="s">
        <v>52</v>
      </c>
      <c r="R393" s="66"/>
      <c r="S393" s="66"/>
      <c r="T393" s="80">
        <v>1</v>
      </c>
      <c r="U393" s="71" t="s">
        <v>81</v>
      </c>
    </row>
    <row r="394" spans="1:21" ht="58.15" customHeight="1">
      <c r="A394" s="93">
        <v>100</v>
      </c>
      <c r="B394" s="66" t="s">
        <v>866</v>
      </c>
      <c r="C394" s="66" t="s">
        <v>90</v>
      </c>
      <c r="D394" s="66" t="s">
        <v>23</v>
      </c>
      <c r="E394" s="81"/>
      <c r="F394" s="71" t="s">
        <v>101</v>
      </c>
      <c r="G394" s="71" t="s">
        <v>868</v>
      </c>
      <c r="H394" s="71">
        <v>21.33</v>
      </c>
      <c r="I394" s="71"/>
      <c r="J394" s="71"/>
      <c r="K394" s="3">
        <f>1349225774*21.33</f>
        <v>28778985759.419998</v>
      </c>
      <c r="L394" s="3">
        <v>0</v>
      </c>
      <c r="M394" s="3">
        <f>1349225774*21.33</f>
        <v>28778985759.419998</v>
      </c>
      <c r="N394" s="71" t="s">
        <v>28</v>
      </c>
      <c r="O394" s="71" t="s">
        <v>96</v>
      </c>
      <c r="P394" s="66">
        <v>2025</v>
      </c>
      <c r="Q394" s="66" t="s">
        <v>30</v>
      </c>
      <c r="R394" s="85"/>
      <c r="S394" s="87"/>
      <c r="T394" s="80"/>
      <c r="U394" s="71" t="s">
        <v>869</v>
      </c>
    </row>
    <row r="395" spans="1:21" ht="41.45">
      <c r="A395" s="93"/>
      <c r="B395" s="66" t="s">
        <v>866</v>
      </c>
      <c r="C395" s="66" t="s">
        <v>90</v>
      </c>
      <c r="D395" s="66" t="s">
        <v>23</v>
      </c>
      <c r="E395" s="81"/>
      <c r="F395" s="71" t="s">
        <v>101</v>
      </c>
      <c r="G395" s="71" t="s">
        <v>870</v>
      </c>
      <c r="H395" s="71">
        <v>25.72</v>
      </c>
      <c r="I395" s="71"/>
      <c r="J395" s="71"/>
      <c r="K395" s="3">
        <f>1349225774*25.72</f>
        <v>34702086907.279999</v>
      </c>
      <c r="L395" s="3">
        <v>0</v>
      </c>
      <c r="M395" s="3">
        <f>1349225774*25.72</f>
        <v>34702086907.279999</v>
      </c>
      <c r="N395" s="71" t="s">
        <v>28</v>
      </c>
      <c r="O395" s="71" t="s">
        <v>96</v>
      </c>
      <c r="P395" s="66">
        <v>2025</v>
      </c>
      <c r="Q395" s="66" t="s">
        <v>30</v>
      </c>
      <c r="R395" s="85"/>
      <c r="S395" s="87"/>
      <c r="T395" s="80"/>
      <c r="U395" s="71" t="s">
        <v>869</v>
      </c>
    </row>
    <row r="396" spans="1:21" ht="18" customHeight="1">
      <c r="A396" s="93"/>
      <c r="B396" s="71" t="s">
        <v>866</v>
      </c>
      <c r="C396" s="66" t="s">
        <v>90</v>
      </c>
      <c r="D396" s="66" t="s">
        <v>42</v>
      </c>
      <c r="E396" s="81" t="s">
        <v>871</v>
      </c>
      <c r="F396" s="71" t="s">
        <v>80</v>
      </c>
      <c r="G396" s="66" t="s">
        <v>76</v>
      </c>
      <c r="H396" s="66">
        <v>1</v>
      </c>
      <c r="I396" s="66"/>
      <c r="J396" s="66"/>
      <c r="K396" s="69">
        <v>349987462</v>
      </c>
      <c r="L396" s="69">
        <v>552094027</v>
      </c>
      <c r="M396" s="69">
        <f>+K396+L396</f>
        <v>902081489</v>
      </c>
      <c r="N396" s="71" t="s">
        <v>73</v>
      </c>
      <c r="O396" s="71" t="s">
        <v>51</v>
      </c>
      <c r="P396" s="66">
        <v>2024</v>
      </c>
      <c r="Q396" s="66" t="s">
        <v>52</v>
      </c>
      <c r="R396" s="66"/>
      <c r="S396" s="66"/>
      <c r="T396" s="80">
        <v>1</v>
      </c>
      <c r="U396" s="71" t="s">
        <v>69</v>
      </c>
    </row>
    <row r="397" spans="1:21" ht="27.6">
      <c r="A397" s="93"/>
      <c r="B397" s="71" t="s">
        <v>866</v>
      </c>
      <c r="C397" s="66" t="s">
        <v>90</v>
      </c>
      <c r="D397" s="66"/>
      <c r="E397" s="81"/>
      <c r="F397" s="71" t="s">
        <v>160</v>
      </c>
      <c r="G397" s="66" t="s">
        <v>872</v>
      </c>
      <c r="H397" s="66">
        <v>6</v>
      </c>
      <c r="I397" s="66"/>
      <c r="J397" s="66"/>
      <c r="K397" s="69">
        <v>122209209</v>
      </c>
      <c r="L397" s="69">
        <v>18934439</v>
      </c>
      <c r="M397" s="69">
        <f>+K397+L397</f>
        <v>141143648</v>
      </c>
      <c r="N397" s="71" t="s">
        <v>98</v>
      </c>
      <c r="O397" s="71" t="s">
        <v>45</v>
      </c>
      <c r="P397" s="66">
        <v>2025</v>
      </c>
      <c r="Q397" s="66" t="s">
        <v>38</v>
      </c>
      <c r="R397" s="66"/>
      <c r="S397" s="66"/>
      <c r="T397" s="80">
        <v>1</v>
      </c>
      <c r="U397" s="71" t="s">
        <v>163</v>
      </c>
    </row>
    <row r="398" spans="1:21" ht="18" customHeight="1">
      <c r="A398" s="93"/>
      <c r="B398" s="71" t="s">
        <v>866</v>
      </c>
      <c r="C398" s="66" t="s">
        <v>90</v>
      </c>
      <c r="D398" s="66" t="s">
        <v>42</v>
      </c>
      <c r="E398" s="81" t="s">
        <v>873</v>
      </c>
      <c r="F398" s="71" t="s">
        <v>874</v>
      </c>
      <c r="G398" s="66" t="s">
        <v>204</v>
      </c>
      <c r="H398" s="66">
        <v>0.1</v>
      </c>
      <c r="I398" s="66"/>
      <c r="J398" s="66"/>
      <c r="K398" s="69">
        <v>122209209</v>
      </c>
      <c r="L398" s="69">
        <v>18934439</v>
      </c>
      <c r="M398" s="69">
        <f>+K398+L398</f>
        <v>141143648</v>
      </c>
      <c r="N398" s="71" t="s">
        <v>142</v>
      </c>
      <c r="O398" s="71" t="s">
        <v>51</v>
      </c>
      <c r="P398" s="66">
        <v>2025</v>
      </c>
      <c r="Q398" s="66" t="s">
        <v>115</v>
      </c>
      <c r="R398" s="66"/>
      <c r="S398" s="66"/>
      <c r="T398" s="80">
        <v>1</v>
      </c>
      <c r="U398" s="71"/>
    </row>
    <row r="399" spans="1:21" ht="13.9">
      <c r="A399" s="93"/>
      <c r="B399" s="71" t="s">
        <v>866</v>
      </c>
      <c r="C399" s="66" t="s">
        <v>90</v>
      </c>
      <c r="D399" s="66" t="s">
        <v>42</v>
      </c>
      <c r="E399" s="81" t="s">
        <v>875</v>
      </c>
      <c r="F399" s="71" t="s">
        <v>80</v>
      </c>
      <c r="G399" s="66" t="s">
        <v>76</v>
      </c>
      <c r="H399" s="66">
        <v>1</v>
      </c>
      <c r="I399" s="66"/>
      <c r="J399" s="66"/>
      <c r="K399" s="69">
        <v>350000000</v>
      </c>
      <c r="L399" s="2">
        <v>552094027</v>
      </c>
      <c r="M399" s="69">
        <f>+K399+L399</f>
        <v>902094027</v>
      </c>
      <c r="N399" s="71" t="s">
        <v>73</v>
      </c>
      <c r="O399" s="71" t="s">
        <v>51</v>
      </c>
      <c r="P399" s="66">
        <v>2024</v>
      </c>
      <c r="Q399" s="66" t="s">
        <v>38</v>
      </c>
      <c r="R399" s="66"/>
      <c r="S399" s="66"/>
      <c r="T399" s="80">
        <v>1</v>
      </c>
      <c r="U399" s="71"/>
    </row>
    <row r="400" spans="1:21" ht="27.6">
      <c r="A400" s="108">
        <v>101</v>
      </c>
      <c r="B400" s="71" t="s">
        <v>876</v>
      </c>
      <c r="C400" s="66" t="s">
        <v>22</v>
      </c>
      <c r="D400" s="66" t="s">
        <v>23</v>
      </c>
      <c r="E400" s="81">
        <v>4600018900</v>
      </c>
      <c r="F400" s="71" t="s">
        <v>101</v>
      </c>
      <c r="G400" s="71" t="s">
        <v>877</v>
      </c>
      <c r="H400" s="71">
        <v>15.22</v>
      </c>
      <c r="I400" s="71"/>
      <c r="J400" s="71"/>
      <c r="K400" s="79">
        <f>'Estabilización datos '!G386*23.77</f>
        <v>0</v>
      </c>
      <c r="L400" s="79">
        <v>0</v>
      </c>
      <c r="M400" s="69">
        <f>+K400</f>
        <v>0</v>
      </c>
      <c r="N400" s="71" t="s">
        <v>28</v>
      </c>
      <c r="O400" s="66" t="s">
        <v>29</v>
      </c>
      <c r="P400" s="66">
        <v>2025</v>
      </c>
      <c r="Q400" s="66" t="s">
        <v>99</v>
      </c>
      <c r="R400" s="85"/>
      <c r="S400" s="87"/>
      <c r="T400" s="80"/>
      <c r="U400" s="76" t="s">
        <v>461</v>
      </c>
    </row>
    <row r="401" spans="1:21" ht="31.9" hidden="1" customHeight="1">
      <c r="A401" s="108"/>
      <c r="B401" s="71" t="s">
        <v>876</v>
      </c>
      <c r="C401" s="66" t="s">
        <v>22</v>
      </c>
      <c r="D401" s="66" t="s">
        <v>48</v>
      </c>
      <c r="E401" s="81"/>
      <c r="F401" s="71" t="s">
        <v>878</v>
      </c>
      <c r="G401" s="71"/>
      <c r="H401" s="71"/>
      <c r="I401" s="71"/>
      <c r="J401" s="71"/>
      <c r="K401" s="79">
        <v>3000000000</v>
      </c>
      <c r="L401" s="79">
        <f>3358787439+1280000000</f>
        <v>4638787439</v>
      </c>
      <c r="M401" s="69">
        <f>+K401+L401</f>
        <v>7638787439</v>
      </c>
      <c r="N401" s="71" t="s">
        <v>330</v>
      </c>
      <c r="O401" s="71"/>
      <c r="P401" s="66"/>
      <c r="Q401" s="66"/>
      <c r="R401" s="66"/>
      <c r="S401" s="66"/>
      <c r="T401" s="80"/>
      <c r="U401" s="66"/>
    </row>
    <row r="402" spans="1:21" ht="31.9" customHeight="1">
      <c r="A402" s="108"/>
      <c r="B402" s="71" t="s">
        <v>876</v>
      </c>
      <c r="C402" s="66" t="s">
        <v>22</v>
      </c>
      <c r="D402" s="66" t="s">
        <v>42</v>
      </c>
      <c r="E402" s="81" t="s">
        <v>879</v>
      </c>
      <c r="F402" s="71" t="s">
        <v>265</v>
      </c>
      <c r="G402" s="71" t="s">
        <v>399</v>
      </c>
      <c r="H402" s="71">
        <v>0.5</v>
      </c>
      <c r="I402" s="71"/>
      <c r="J402" s="71"/>
      <c r="K402" s="79">
        <v>175000000</v>
      </c>
      <c r="L402" s="79"/>
      <c r="M402" s="69">
        <f>+K402+L402</f>
        <v>175000000</v>
      </c>
      <c r="N402" s="71" t="s">
        <v>73</v>
      </c>
      <c r="O402" s="71" t="s">
        <v>51</v>
      </c>
      <c r="P402" s="66">
        <v>2025</v>
      </c>
      <c r="Q402" s="66" t="s">
        <v>115</v>
      </c>
      <c r="R402" s="66"/>
      <c r="S402" s="66"/>
      <c r="T402" s="70">
        <v>1</v>
      </c>
      <c r="U402" s="66" t="s">
        <v>30</v>
      </c>
    </row>
    <row r="403" spans="1:21" ht="31.9" customHeight="1">
      <c r="A403" s="108"/>
      <c r="B403" s="71" t="s">
        <v>876</v>
      </c>
      <c r="C403" s="66" t="s">
        <v>22</v>
      </c>
      <c r="D403" s="66" t="s">
        <v>42</v>
      </c>
      <c r="E403" s="81" t="s">
        <v>880</v>
      </c>
      <c r="F403" s="71" t="s">
        <v>881</v>
      </c>
      <c r="G403" s="71" t="s">
        <v>204</v>
      </c>
      <c r="H403" s="71">
        <v>0.1</v>
      </c>
      <c r="I403" s="71"/>
      <c r="J403" s="71"/>
      <c r="K403" s="79">
        <v>114185129</v>
      </c>
      <c r="L403" s="79">
        <v>14839507</v>
      </c>
      <c r="M403" s="69">
        <f>+K403+L403</f>
        <v>129024636</v>
      </c>
      <c r="N403" s="71" t="s">
        <v>28</v>
      </c>
      <c r="O403" s="71" t="s">
        <v>51</v>
      </c>
      <c r="P403" s="66">
        <v>2025</v>
      </c>
      <c r="Q403" s="66" t="s">
        <v>52</v>
      </c>
      <c r="R403" s="66"/>
      <c r="S403" s="66"/>
      <c r="T403" s="70">
        <v>1</v>
      </c>
      <c r="U403" s="71" t="s">
        <v>74</v>
      </c>
    </row>
    <row r="404" spans="1:21" ht="31.9" customHeight="1">
      <c r="A404" s="108"/>
      <c r="B404" s="71" t="s">
        <v>876</v>
      </c>
      <c r="C404" s="66" t="s">
        <v>22</v>
      </c>
      <c r="D404" s="66" t="s">
        <v>42</v>
      </c>
      <c r="E404" s="81">
        <v>2025003050046</v>
      </c>
      <c r="F404" s="71" t="s">
        <v>75</v>
      </c>
      <c r="G404" s="71" t="s">
        <v>105</v>
      </c>
      <c r="H404" s="71">
        <v>2</v>
      </c>
      <c r="I404" s="71"/>
      <c r="J404" s="71"/>
      <c r="K404" s="79">
        <v>4319392762</v>
      </c>
      <c r="L404" s="79">
        <v>0</v>
      </c>
      <c r="M404" s="69">
        <f>+K404</f>
        <v>4319392762</v>
      </c>
      <c r="N404" s="71" t="s">
        <v>37</v>
      </c>
      <c r="O404" s="71" t="s">
        <v>78</v>
      </c>
      <c r="P404" s="66">
        <v>2026</v>
      </c>
      <c r="Q404" s="66" t="s">
        <v>30</v>
      </c>
      <c r="R404" s="66"/>
      <c r="S404" s="66"/>
      <c r="T404" s="70">
        <v>0.03</v>
      </c>
      <c r="U404" s="71"/>
    </row>
    <row r="405" spans="1:21" ht="13.9">
      <c r="A405" s="108"/>
      <c r="B405" s="71" t="s">
        <v>876</v>
      </c>
      <c r="C405" s="66" t="s">
        <v>22</v>
      </c>
      <c r="D405" s="66" t="s">
        <v>42</v>
      </c>
      <c r="E405" s="81" t="s">
        <v>882</v>
      </c>
      <c r="F405" s="71" t="s">
        <v>80</v>
      </c>
      <c r="G405" s="66" t="s">
        <v>76</v>
      </c>
      <c r="H405" s="66">
        <v>1</v>
      </c>
      <c r="I405" s="66"/>
      <c r="J405" s="66"/>
      <c r="K405" s="69">
        <v>350000000</v>
      </c>
      <c r="L405" s="69">
        <v>308057130.75</v>
      </c>
      <c r="M405" s="69">
        <f>+K405+L405</f>
        <v>658057130.75</v>
      </c>
      <c r="N405" s="71" t="s">
        <v>73</v>
      </c>
      <c r="O405" s="71" t="s">
        <v>51</v>
      </c>
      <c r="P405" s="66">
        <v>2024</v>
      </c>
      <c r="Q405" s="66" t="s">
        <v>38</v>
      </c>
      <c r="R405" s="66"/>
      <c r="S405" s="66"/>
      <c r="T405" s="70">
        <v>1</v>
      </c>
      <c r="U405" s="66" t="s">
        <v>69</v>
      </c>
    </row>
    <row r="406" spans="1:21" ht="36" customHeight="1">
      <c r="A406" s="93">
        <v>102</v>
      </c>
      <c r="B406" s="66" t="s">
        <v>883</v>
      </c>
      <c r="C406" s="66" t="s">
        <v>83</v>
      </c>
      <c r="D406" s="66" t="s">
        <v>23</v>
      </c>
      <c r="E406" s="81"/>
      <c r="F406" s="71" t="s">
        <v>436</v>
      </c>
      <c r="G406" s="71" t="s">
        <v>884</v>
      </c>
      <c r="H406" s="71" t="s">
        <v>885</v>
      </c>
      <c r="I406" s="71"/>
      <c r="J406" s="71"/>
      <c r="K406" s="69">
        <f>1341963493*2.4</f>
        <v>3220712383.1999998</v>
      </c>
      <c r="L406" s="79">
        <v>0</v>
      </c>
      <c r="M406" s="69">
        <f>+K406</f>
        <v>3220712383.1999998</v>
      </c>
      <c r="N406" s="66" t="s">
        <v>28</v>
      </c>
      <c r="O406" s="66" t="s">
        <v>96</v>
      </c>
      <c r="P406" s="66">
        <v>2025</v>
      </c>
      <c r="Q406" s="66" t="s">
        <v>99</v>
      </c>
      <c r="R406" s="85"/>
      <c r="S406" s="87"/>
      <c r="T406" s="80"/>
      <c r="U406" s="66" t="s">
        <v>154</v>
      </c>
    </row>
    <row r="407" spans="1:21" ht="13.9">
      <c r="A407" s="93"/>
      <c r="B407" s="71" t="s">
        <v>883</v>
      </c>
      <c r="C407" s="66" t="s">
        <v>83</v>
      </c>
      <c r="D407" s="66" t="s">
        <v>42</v>
      </c>
      <c r="E407" s="81" t="s">
        <v>886</v>
      </c>
      <c r="F407" s="71" t="s">
        <v>80</v>
      </c>
      <c r="G407" s="66" t="s">
        <v>76</v>
      </c>
      <c r="H407" s="66">
        <v>1</v>
      </c>
      <c r="I407" s="66"/>
      <c r="J407" s="66"/>
      <c r="K407" s="69">
        <v>350000000</v>
      </c>
      <c r="L407" s="69">
        <v>492395177</v>
      </c>
      <c r="M407" s="69">
        <f>+K407+L407</f>
        <v>842395177</v>
      </c>
      <c r="N407" s="71" t="s">
        <v>73</v>
      </c>
      <c r="O407" s="71" t="s">
        <v>51</v>
      </c>
      <c r="P407" s="66">
        <v>2024</v>
      </c>
      <c r="Q407" s="66" t="s">
        <v>38</v>
      </c>
      <c r="R407" s="66"/>
      <c r="S407" s="66"/>
      <c r="T407" s="80">
        <v>1</v>
      </c>
      <c r="U407" s="71" t="s">
        <v>74</v>
      </c>
    </row>
    <row r="408" spans="1:21" ht="40.9" hidden="1" customHeight="1">
      <c r="A408" s="93">
        <v>103</v>
      </c>
      <c r="B408" s="71" t="s">
        <v>887</v>
      </c>
      <c r="C408" s="66" t="s">
        <v>41</v>
      </c>
      <c r="D408" s="66" t="s">
        <v>174</v>
      </c>
      <c r="E408" s="81" t="s">
        <v>62</v>
      </c>
      <c r="F408" s="71" t="s">
        <v>888</v>
      </c>
      <c r="G408" s="71" t="s">
        <v>889</v>
      </c>
      <c r="H408" s="71" t="s">
        <v>889</v>
      </c>
      <c r="I408" s="71"/>
      <c r="J408" s="71"/>
      <c r="K408" s="79">
        <v>1408385533</v>
      </c>
      <c r="L408" s="79">
        <v>0</v>
      </c>
      <c r="M408" s="69">
        <f>+K408</f>
        <v>1408385533</v>
      </c>
      <c r="N408" s="71" t="s">
        <v>37</v>
      </c>
      <c r="O408" s="71" t="s">
        <v>29</v>
      </c>
      <c r="P408" s="66">
        <v>2026</v>
      </c>
      <c r="Q408" s="66" t="s">
        <v>567</v>
      </c>
      <c r="R408" s="66"/>
      <c r="S408" s="66"/>
      <c r="T408" s="80"/>
      <c r="U408" s="71" t="s">
        <v>593</v>
      </c>
    </row>
    <row r="409" spans="1:21" ht="40.9" customHeight="1">
      <c r="A409" s="93"/>
      <c r="B409" s="71" t="s">
        <v>887</v>
      </c>
      <c r="C409" s="66" t="s">
        <v>41</v>
      </c>
      <c r="D409" s="66" t="s">
        <v>42</v>
      </c>
      <c r="E409" s="81" t="s">
        <v>890</v>
      </c>
      <c r="F409" s="71" t="s">
        <v>265</v>
      </c>
      <c r="G409" s="71" t="s">
        <v>399</v>
      </c>
      <c r="H409" s="71">
        <v>0.5</v>
      </c>
      <c r="I409" s="71"/>
      <c r="J409" s="71"/>
      <c r="K409" s="79">
        <v>175000000</v>
      </c>
      <c r="L409" s="79">
        <v>325000000</v>
      </c>
      <c r="M409" s="69">
        <f>+K409+L409</f>
        <v>500000000</v>
      </c>
      <c r="N409" s="71" t="s">
        <v>73</v>
      </c>
      <c r="O409" s="71" t="s">
        <v>51</v>
      </c>
      <c r="P409" s="66">
        <v>2025</v>
      </c>
      <c r="Q409" s="66" t="s">
        <v>30</v>
      </c>
      <c r="R409" s="66"/>
      <c r="S409" s="66"/>
      <c r="T409" s="80">
        <v>0.5</v>
      </c>
      <c r="U409" s="71" t="s">
        <v>30</v>
      </c>
    </row>
    <row r="410" spans="1:21" ht="40.9" customHeight="1">
      <c r="A410" s="93"/>
      <c r="B410" s="71" t="s">
        <v>887</v>
      </c>
      <c r="C410" s="66" t="s">
        <v>41</v>
      </c>
      <c r="D410" s="66" t="s">
        <v>42</v>
      </c>
      <c r="E410" s="81" t="s">
        <v>146</v>
      </c>
      <c r="F410" s="71" t="s">
        <v>80</v>
      </c>
      <c r="G410" s="66" t="s">
        <v>76</v>
      </c>
      <c r="H410" s="66">
        <v>1</v>
      </c>
      <c r="I410" s="66"/>
      <c r="J410" s="66"/>
      <c r="K410" s="69">
        <v>262114064</v>
      </c>
      <c r="L410" s="69">
        <v>528403422</v>
      </c>
      <c r="M410" s="2">
        <v>975517486</v>
      </c>
      <c r="N410" s="71" t="s">
        <v>147</v>
      </c>
      <c r="O410" s="71" t="s">
        <v>51</v>
      </c>
      <c r="P410" s="66">
        <v>2024</v>
      </c>
      <c r="Q410" s="66" t="s">
        <v>38</v>
      </c>
      <c r="R410" s="66"/>
      <c r="S410" s="66"/>
      <c r="T410" s="80">
        <v>1</v>
      </c>
      <c r="U410" s="71" t="s">
        <v>69</v>
      </c>
    </row>
    <row r="411" spans="1:21" ht="13.9">
      <c r="A411" s="93"/>
      <c r="B411" s="71" t="s">
        <v>887</v>
      </c>
      <c r="C411" s="66" t="s">
        <v>41</v>
      </c>
      <c r="D411" s="66" t="s">
        <v>42</v>
      </c>
      <c r="E411" s="81" t="s">
        <v>891</v>
      </c>
      <c r="F411" s="71" t="s">
        <v>80</v>
      </c>
      <c r="G411" s="66" t="s">
        <v>76</v>
      </c>
      <c r="H411" s="66">
        <v>1</v>
      </c>
      <c r="I411" s="66"/>
      <c r="J411" s="66"/>
      <c r="K411" s="2">
        <v>350000000</v>
      </c>
      <c r="L411" s="2">
        <v>650000000</v>
      </c>
      <c r="M411" s="2">
        <f>+K411+L411</f>
        <v>1000000000</v>
      </c>
      <c r="N411" s="71" t="s">
        <v>73</v>
      </c>
      <c r="O411" s="71" t="s">
        <v>51</v>
      </c>
      <c r="P411" s="66">
        <v>2024</v>
      </c>
      <c r="Q411" s="66" t="s">
        <v>115</v>
      </c>
      <c r="R411" s="66"/>
      <c r="S411" s="66"/>
      <c r="T411" s="80">
        <v>1</v>
      </c>
      <c r="U411" s="71" t="s">
        <v>69</v>
      </c>
    </row>
    <row r="412" spans="1:21" ht="60" customHeight="1">
      <c r="A412" s="93">
        <v>104</v>
      </c>
      <c r="B412" s="71" t="s">
        <v>892</v>
      </c>
      <c r="C412" s="66" t="s">
        <v>149</v>
      </c>
      <c r="D412" s="66" t="s">
        <v>23</v>
      </c>
      <c r="E412" s="81"/>
      <c r="F412" s="71" t="s">
        <v>436</v>
      </c>
      <c r="G412" s="71" t="s">
        <v>893</v>
      </c>
      <c r="H412" s="71" t="s">
        <v>894</v>
      </c>
      <c r="I412" s="71"/>
      <c r="J412" s="71"/>
      <c r="K412" s="79">
        <f>1341407247*33.67</f>
        <v>45165182006.490005</v>
      </c>
      <c r="L412" s="79">
        <v>0</v>
      </c>
      <c r="M412" s="2">
        <f>+K412</f>
        <v>45165182006.490005</v>
      </c>
      <c r="N412" s="79" t="s">
        <v>28</v>
      </c>
      <c r="O412" s="71" t="s">
        <v>96</v>
      </c>
      <c r="P412" s="66">
        <v>2025</v>
      </c>
      <c r="Q412" s="66" t="s">
        <v>30</v>
      </c>
      <c r="R412" s="85"/>
      <c r="S412" s="87"/>
      <c r="T412" s="80"/>
      <c r="U412" s="66" t="s">
        <v>154</v>
      </c>
    </row>
    <row r="413" spans="1:21" ht="60" customHeight="1">
      <c r="A413" s="93"/>
      <c r="B413" s="71" t="s">
        <v>892</v>
      </c>
      <c r="C413" s="66" t="s">
        <v>149</v>
      </c>
      <c r="D413" s="66" t="s">
        <v>131</v>
      </c>
      <c r="E413" s="81">
        <v>4600017793</v>
      </c>
      <c r="F413" s="71" t="s">
        <v>453</v>
      </c>
      <c r="G413" s="71" t="s">
        <v>895</v>
      </c>
      <c r="H413" s="71">
        <v>48.875</v>
      </c>
      <c r="I413" s="71" t="s">
        <v>26</v>
      </c>
      <c r="J413" s="71" t="s">
        <v>134</v>
      </c>
      <c r="K413" s="2">
        <v>17166424376</v>
      </c>
      <c r="L413" s="69">
        <v>0</v>
      </c>
      <c r="M413" s="42">
        <f>+K413</f>
        <v>17166424376</v>
      </c>
      <c r="N413" s="71" t="s">
        <v>28</v>
      </c>
      <c r="O413" s="71" t="s">
        <v>78</v>
      </c>
      <c r="P413" s="66">
        <v>2024</v>
      </c>
      <c r="Q413" s="66" t="s">
        <v>30</v>
      </c>
      <c r="R413" s="66"/>
      <c r="S413" s="66"/>
      <c r="T413" s="70">
        <v>0.87</v>
      </c>
      <c r="U413" s="71" t="s">
        <v>136</v>
      </c>
    </row>
    <row r="414" spans="1:21" ht="60" hidden="1" customHeight="1">
      <c r="A414" s="93"/>
      <c r="B414" s="71"/>
      <c r="C414" s="66"/>
      <c r="D414" s="66"/>
      <c r="E414" s="81"/>
      <c r="F414" s="71"/>
      <c r="G414" s="71"/>
      <c r="H414" s="71"/>
      <c r="I414" s="71"/>
      <c r="J414" s="71"/>
      <c r="K414" s="79"/>
      <c r="L414" s="79"/>
      <c r="M414" s="2"/>
      <c r="N414" s="79"/>
      <c r="O414" s="71"/>
      <c r="P414" s="66"/>
      <c r="Q414" s="66"/>
      <c r="R414" s="66"/>
      <c r="S414" s="66"/>
      <c r="T414" s="80"/>
      <c r="U414" s="71"/>
    </row>
    <row r="415" spans="1:21" ht="55.15">
      <c r="A415" s="93"/>
      <c r="B415" s="71" t="s">
        <v>892</v>
      </c>
      <c r="C415" s="66" t="s">
        <v>149</v>
      </c>
      <c r="D415" s="66" t="s">
        <v>174</v>
      </c>
      <c r="E415" s="81">
        <v>2026003050013</v>
      </c>
      <c r="F415" s="66" t="s">
        <v>896</v>
      </c>
      <c r="G415" s="71" t="s">
        <v>897</v>
      </c>
      <c r="H415" s="71" t="s">
        <v>897</v>
      </c>
      <c r="I415" s="71"/>
      <c r="J415" s="71"/>
      <c r="K415" s="69">
        <v>13000000000</v>
      </c>
      <c r="L415" s="69">
        <v>0</v>
      </c>
      <c r="M415" s="69">
        <v>13000000000</v>
      </c>
      <c r="N415" s="71" t="s">
        <v>37</v>
      </c>
      <c r="O415" s="71" t="s">
        <v>45</v>
      </c>
      <c r="P415" s="66">
        <v>2026</v>
      </c>
      <c r="Q415" s="66" t="s">
        <v>129</v>
      </c>
      <c r="R415" s="66"/>
      <c r="S415" s="66"/>
      <c r="T415" s="80"/>
      <c r="U415" s="71" t="s">
        <v>898</v>
      </c>
    </row>
    <row r="416" spans="1:21" ht="40.9" customHeight="1">
      <c r="A416" s="93"/>
      <c r="B416" s="71" t="s">
        <v>892</v>
      </c>
      <c r="C416" s="66" t="s">
        <v>149</v>
      </c>
      <c r="D416" s="66" t="s">
        <v>42</v>
      </c>
      <c r="E416" s="81" t="s">
        <v>146</v>
      </c>
      <c r="F416" s="71" t="s">
        <v>80</v>
      </c>
      <c r="G416" s="66" t="s">
        <v>76</v>
      </c>
      <c r="H416" s="66">
        <v>1</v>
      </c>
      <c r="I416" s="66"/>
      <c r="J416" s="66"/>
      <c r="K416" s="69">
        <v>269231545</v>
      </c>
      <c r="L416" s="69">
        <v>628358692</v>
      </c>
      <c r="M416" s="2">
        <v>1082590237</v>
      </c>
      <c r="N416" s="79" t="s">
        <v>147</v>
      </c>
      <c r="O416" s="71" t="s">
        <v>51</v>
      </c>
      <c r="P416" s="66">
        <v>2024</v>
      </c>
      <c r="Q416" s="66" t="s">
        <v>115</v>
      </c>
      <c r="R416" s="66"/>
      <c r="S416" s="66"/>
      <c r="T416" s="70">
        <v>1</v>
      </c>
      <c r="U416" s="66" t="s">
        <v>74</v>
      </c>
    </row>
    <row r="417" spans="1:21" ht="41.45">
      <c r="A417" s="93">
        <v>105</v>
      </c>
      <c r="B417" s="71" t="s">
        <v>899</v>
      </c>
      <c r="C417" s="66" t="s">
        <v>90</v>
      </c>
      <c r="D417" s="66" t="s">
        <v>23</v>
      </c>
      <c r="E417" s="81"/>
      <c r="F417" s="71" t="s">
        <v>101</v>
      </c>
      <c r="G417" s="71" t="s">
        <v>900</v>
      </c>
      <c r="H417" s="71">
        <v>25.72</v>
      </c>
      <c r="I417" s="71"/>
      <c r="J417" s="71"/>
      <c r="K417" s="3">
        <f>1349225774*25.72</f>
        <v>34702086907.279999</v>
      </c>
      <c r="L417" s="79">
        <v>0</v>
      </c>
      <c r="M417" s="69">
        <f>+K417</f>
        <v>34702086907.279999</v>
      </c>
      <c r="N417" s="71" t="s">
        <v>28</v>
      </c>
      <c r="O417" s="71" t="s">
        <v>96</v>
      </c>
      <c r="P417" s="66">
        <v>2025</v>
      </c>
      <c r="Q417" s="66" t="s">
        <v>30</v>
      </c>
      <c r="R417" s="85"/>
      <c r="S417" s="87"/>
      <c r="T417" s="80"/>
      <c r="U417" s="71" t="s">
        <v>103</v>
      </c>
    </row>
    <row r="418" spans="1:21" ht="142.9" customHeight="1">
      <c r="A418" s="93"/>
      <c r="B418" s="71" t="s">
        <v>899</v>
      </c>
      <c r="C418" s="66" t="s">
        <v>90</v>
      </c>
      <c r="D418" s="66" t="s">
        <v>23</v>
      </c>
      <c r="E418" s="81"/>
      <c r="F418" s="71" t="s">
        <v>901</v>
      </c>
      <c r="G418" s="66" t="s">
        <v>902</v>
      </c>
      <c r="H418" s="66">
        <v>9.0500000000000007</v>
      </c>
      <c r="I418" s="66"/>
      <c r="J418" s="66"/>
      <c r="K418" s="69"/>
      <c r="L418" s="69"/>
      <c r="M418" s="2">
        <v>46550000000</v>
      </c>
      <c r="N418" s="71" t="s">
        <v>98</v>
      </c>
      <c r="O418" s="71" t="s">
        <v>62</v>
      </c>
      <c r="P418" s="66">
        <v>2024</v>
      </c>
      <c r="Q418" s="66" t="s">
        <v>115</v>
      </c>
      <c r="R418" s="66"/>
      <c r="S418" s="66"/>
      <c r="T418" s="70"/>
      <c r="U418" s="66" t="s">
        <v>343</v>
      </c>
    </row>
    <row r="419" spans="1:21" ht="13.9">
      <c r="A419" s="93"/>
      <c r="B419" s="71" t="s">
        <v>899</v>
      </c>
      <c r="C419" s="66" t="s">
        <v>90</v>
      </c>
      <c r="D419" s="66" t="s">
        <v>42</v>
      </c>
      <c r="E419" s="81" t="s">
        <v>903</v>
      </c>
      <c r="F419" s="71" t="s">
        <v>904</v>
      </c>
      <c r="G419" s="66" t="s">
        <v>204</v>
      </c>
      <c r="H419" s="66">
        <v>0.1</v>
      </c>
      <c r="I419" s="66"/>
      <c r="J419" s="66"/>
      <c r="K419" s="43">
        <v>101508608</v>
      </c>
      <c r="L419" s="43">
        <v>8902787</v>
      </c>
      <c r="M419" s="9">
        <f>+K419+L419</f>
        <v>110411395</v>
      </c>
      <c r="N419" s="71" t="s">
        <v>142</v>
      </c>
      <c r="O419" s="71" t="s">
        <v>51</v>
      </c>
      <c r="P419" s="66">
        <v>2025</v>
      </c>
      <c r="Q419" s="66" t="s">
        <v>52</v>
      </c>
      <c r="R419" s="66"/>
      <c r="S419" s="66"/>
      <c r="T419" s="70">
        <v>1</v>
      </c>
      <c r="U419" s="66" t="s">
        <v>74</v>
      </c>
    </row>
    <row r="420" spans="1:21" ht="13.9">
      <c r="A420" s="93"/>
      <c r="B420" s="71" t="s">
        <v>899</v>
      </c>
      <c r="C420" s="66" t="s">
        <v>90</v>
      </c>
      <c r="D420" s="66" t="s">
        <v>42</v>
      </c>
      <c r="E420" s="81" t="s">
        <v>905</v>
      </c>
      <c r="F420" s="71" t="s">
        <v>906</v>
      </c>
      <c r="G420" s="49" t="s">
        <v>204</v>
      </c>
      <c r="H420" s="50">
        <v>0.1</v>
      </c>
      <c r="I420" s="66"/>
      <c r="J420" s="66"/>
      <c r="K420" s="43">
        <v>99638658</v>
      </c>
      <c r="L420" s="43">
        <v>13439899</v>
      </c>
      <c r="M420" s="9">
        <f>+K420+L420</f>
        <v>113078557</v>
      </c>
      <c r="N420" s="71" t="s">
        <v>28</v>
      </c>
      <c r="O420" s="71" t="s">
        <v>51</v>
      </c>
      <c r="P420" s="66">
        <v>2025</v>
      </c>
      <c r="Q420" s="66" t="s">
        <v>38</v>
      </c>
      <c r="R420" s="66"/>
      <c r="S420" s="66"/>
      <c r="T420" s="70">
        <v>1</v>
      </c>
      <c r="U420" s="66" t="s">
        <v>74</v>
      </c>
    </row>
    <row r="421" spans="1:21" ht="13.9">
      <c r="A421" s="93"/>
      <c r="B421" s="71" t="s">
        <v>899</v>
      </c>
      <c r="C421" s="66" t="s">
        <v>90</v>
      </c>
      <c r="D421" s="66" t="s">
        <v>907</v>
      </c>
      <c r="E421" s="81" t="s">
        <v>908</v>
      </c>
      <c r="F421" s="71" t="s">
        <v>909</v>
      </c>
      <c r="G421" s="66" t="s">
        <v>204</v>
      </c>
      <c r="H421" s="66">
        <v>0.1</v>
      </c>
      <c r="I421" s="66"/>
      <c r="J421" s="66"/>
      <c r="K421" s="43">
        <v>121910004</v>
      </c>
      <c r="L421" s="43">
        <v>15729347</v>
      </c>
      <c r="M421" s="9">
        <f>+L421+K421</f>
        <v>137639351</v>
      </c>
      <c r="N421" s="71" t="s">
        <v>142</v>
      </c>
      <c r="O421" s="71" t="s">
        <v>51</v>
      </c>
      <c r="P421" s="66">
        <v>2025</v>
      </c>
      <c r="Q421" s="66" t="s">
        <v>52</v>
      </c>
      <c r="R421" s="66"/>
      <c r="S421" s="66"/>
      <c r="T421" s="70">
        <v>1</v>
      </c>
      <c r="U421" s="66" t="s">
        <v>74</v>
      </c>
    </row>
    <row r="422" spans="1:21" ht="27.6">
      <c r="A422" s="93"/>
      <c r="B422" s="71" t="s">
        <v>899</v>
      </c>
      <c r="C422" s="66" t="s">
        <v>90</v>
      </c>
      <c r="D422" s="66"/>
      <c r="E422" s="81"/>
      <c r="F422" s="71" t="s">
        <v>160</v>
      </c>
      <c r="G422" s="71" t="s">
        <v>910</v>
      </c>
      <c r="H422" s="71">
        <v>10</v>
      </c>
      <c r="I422" s="71"/>
      <c r="J422" s="71"/>
      <c r="K422" s="69"/>
      <c r="L422" s="69"/>
      <c r="M422" s="2"/>
      <c r="N422" s="71" t="s">
        <v>98</v>
      </c>
      <c r="O422" s="71" t="s">
        <v>45</v>
      </c>
      <c r="P422" s="66">
        <v>2025</v>
      </c>
      <c r="Q422" s="66" t="s">
        <v>30</v>
      </c>
      <c r="R422" s="66"/>
      <c r="S422" s="66"/>
      <c r="T422" s="70"/>
      <c r="U422" s="66" t="s">
        <v>163</v>
      </c>
    </row>
    <row r="423" spans="1:21" ht="13.9">
      <c r="A423" s="93"/>
      <c r="B423" s="71" t="s">
        <v>899</v>
      </c>
      <c r="C423" s="66" t="s">
        <v>90</v>
      </c>
      <c r="D423" s="66" t="s">
        <v>174</v>
      </c>
      <c r="E423" s="81" t="s">
        <v>62</v>
      </c>
      <c r="F423" s="71" t="s">
        <v>896</v>
      </c>
      <c r="G423" s="66" t="s">
        <v>911</v>
      </c>
      <c r="H423" s="66"/>
      <c r="I423" s="66"/>
      <c r="J423" s="66"/>
      <c r="K423" s="69">
        <v>489948882</v>
      </c>
      <c r="L423" s="69">
        <v>0</v>
      </c>
      <c r="M423" s="2">
        <f>+K423</f>
        <v>489948882</v>
      </c>
      <c r="N423" s="71" t="s">
        <v>37</v>
      </c>
      <c r="O423" s="71"/>
      <c r="P423" s="66">
        <v>2026</v>
      </c>
      <c r="Q423" s="66" t="s">
        <v>129</v>
      </c>
      <c r="R423" s="66"/>
      <c r="S423" s="66"/>
      <c r="T423" s="70"/>
      <c r="U423" s="66" t="s">
        <v>178</v>
      </c>
    </row>
    <row r="424" spans="1:21" ht="40.9" customHeight="1">
      <c r="A424" s="93"/>
      <c r="B424" s="71" t="s">
        <v>899</v>
      </c>
      <c r="C424" s="66" t="s">
        <v>90</v>
      </c>
      <c r="D424" s="66" t="s">
        <v>42</v>
      </c>
      <c r="E424" s="81" t="s">
        <v>146</v>
      </c>
      <c r="F424" s="71" t="s">
        <v>80</v>
      </c>
      <c r="G424" s="66" t="s">
        <v>912</v>
      </c>
      <c r="H424" s="66">
        <v>0.8</v>
      </c>
      <c r="I424" s="66"/>
      <c r="J424" s="66"/>
      <c r="K424" s="69">
        <v>225114245</v>
      </c>
      <c r="L424" s="69">
        <v>351657303</v>
      </c>
      <c r="M424" s="69">
        <v>777331548</v>
      </c>
      <c r="N424" s="71" t="s">
        <v>147</v>
      </c>
      <c r="O424" s="71" t="s">
        <v>51</v>
      </c>
      <c r="P424" s="66">
        <v>2024</v>
      </c>
      <c r="Q424" s="66" t="s">
        <v>38</v>
      </c>
      <c r="R424" s="66"/>
      <c r="S424" s="66"/>
      <c r="T424" s="70">
        <v>1</v>
      </c>
      <c r="U424" s="66" t="s">
        <v>74</v>
      </c>
    </row>
    <row r="425" spans="1:21" ht="27.6" hidden="1">
      <c r="A425" s="66">
        <v>106</v>
      </c>
      <c r="B425" s="71" t="s">
        <v>913</v>
      </c>
      <c r="C425" s="66" t="s">
        <v>90</v>
      </c>
      <c r="D425" s="66" t="s">
        <v>42</v>
      </c>
      <c r="E425" s="81">
        <v>2023000040003</v>
      </c>
      <c r="F425" s="71" t="s">
        <v>744</v>
      </c>
      <c r="G425" s="66" t="s">
        <v>914</v>
      </c>
      <c r="H425" s="66">
        <v>5.59</v>
      </c>
      <c r="I425" s="66"/>
      <c r="J425" s="66"/>
      <c r="K425" s="69"/>
      <c r="L425" s="69"/>
      <c r="M425" s="69">
        <v>39372611491</v>
      </c>
      <c r="N425" s="66" t="s">
        <v>37</v>
      </c>
      <c r="O425" s="2" t="s">
        <v>45</v>
      </c>
      <c r="P425" s="66">
        <v>2023</v>
      </c>
      <c r="Q425" s="66" t="s">
        <v>30</v>
      </c>
      <c r="R425" s="66"/>
      <c r="S425" s="66"/>
      <c r="T425" s="66"/>
      <c r="U425" s="71"/>
    </row>
    <row r="426" spans="1:21" ht="27.6" hidden="1">
      <c r="A426" s="66"/>
      <c r="B426" s="66" t="s">
        <v>915</v>
      </c>
      <c r="C426" s="66" t="s">
        <v>22</v>
      </c>
      <c r="D426" s="66" t="s">
        <v>34</v>
      </c>
      <c r="E426" s="81">
        <v>2022003050018</v>
      </c>
      <c r="F426" s="71" t="s">
        <v>35</v>
      </c>
      <c r="G426" s="71" t="s">
        <v>36</v>
      </c>
      <c r="H426" s="71">
        <v>2.06</v>
      </c>
      <c r="I426" s="71"/>
      <c r="J426" s="71"/>
      <c r="K426" s="79">
        <v>4451449104.1000004</v>
      </c>
      <c r="L426" s="79">
        <v>695573310</v>
      </c>
      <c r="M426" s="69">
        <f>+K426+L426</f>
        <v>5147022414.1000004</v>
      </c>
      <c r="N426" s="66" t="s">
        <v>37</v>
      </c>
      <c r="O426" s="66"/>
      <c r="P426" s="66">
        <v>2022</v>
      </c>
      <c r="Q426" s="66"/>
      <c r="R426" s="66"/>
      <c r="S426" s="66"/>
      <c r="T426" s="80">
        <v>0.95</v>
      </c>
      <c r="U426" s="66" t="s">
        <v>30</v>
      </c>
    </row>
    <row r="427" spans="1:21" ht="27.6">
      <c r="A427" s="93">
        <v>107</v>
      </c>
      <c r="B427" s="71" t="s">
        <v>916</v>
      </c>
      <c r="C427" s="66" t="s">
        <v>22</v>
      </c>
      <c r="D427" s="66" t="s">
        <v>23</v>
      </c>
      <c r="E427" s="81">
        <v>4600018900</v>
      </c>
      <c r="F427" s="71" t="s">
        <v>101</v>
      </c>
      <c r="G427" s="71" t="s">
        <v>917</v>
      </c>
      <c r="H427" s="71" t="s">
        <v>918</v>
      </c>
      <c r="I427" s="71"/>
      <c r="J427" s="71"/>
      <c r="K427" s="79">
        <f>'Estabilización datos '!G410*23.77</f>
        <v>0</v>
      </c>
      <c r="L427" s="79">
        <v>0</v>
      </c>
      <c r="M427" s="69">
        <f>+K427</f>
        <v>0</v>
      </c>
      <c r="N427" s="71" t="s">
        <v>28</v>
      </c>
      <c r="O427" s="66" t="s">
        <v>29</v>
      </c>
      <c r="P427" s="66">
        <v>2025</v>
      </c>
      <c r="Q427" s="66" t="s">
        <v>99</v>
      </c>
      <c r="R427" s="85"/>
      <c r="S427" s="87"/>
      <c r="T427" s="80"/>
      <c r="U427" s="76" t="s">
        <v>461</v>
      </c>
    </row>
    <row r="428" spans="1:21" ht="13.9">
      <c r="A428" s="93"/>
      <c r="B428" s="71" t="s">
        <v>916</v>
      </c>
      <c r="C428" s="66" t="s">
        <v>22</v>
      </c>
      <c r="D428" s="66" t="s">
        <v>42</v>
      </c>
      <c r="E428" s="81" t="s">
        <v>919</v>
      </c>
      <c r="F428" s="71" t="s">
        <v>920</v>
      </c>
      <c r="G428" s="66" t="s">
        <v>506</v>
      </c>
      <c r="H428" s="66">
        <v>0.7</v>
      </c>
      <c r="I428" s="66"/>
      <c r="J428" s="66"/>
      <c r="K428" s="69">
        <v>245000000</v>
      </c>
      <c r="L428" s="69">
        <v>1017655010.78</v>
      </c>
      <c r="M428" s="69">
        <f>+K428+L428</f>
        <v>1262655010.78</v>
      </c>
      <c r="N428" s="71" t="s">
        <v>73</v>
      </c>
      <c r="O428" s="71" t="s">
        <v>51</v>
      </c>
      <c r="P428" s="66">
        <v>2024</v>
      </c>
      <c r="Q428" s="66" t="s">
        <v>30</v>
      </c>
      <c r="R428" s="66"/>
      <c r="S428" s="66"/>
      <c r="T428" s="80">
        <v>0.8</v>
      </c>
      <c r="U428" s="71"/>
    </row>
    <row r="429" spans="1:21" ht="40.9" customHeight="1">
      <c r="A429" s="93"/>
      <c r="B429" s="71" t="s">
        <v>916</v>
      </c>
      <c r="C429" s="66" t="s">
        <v>22</v>
      </c>
      <c r="D429" s="66" t="s">
        <v>119</v>
      </c>
      <c r="E429" s="81"/>
      <c r="F429" s="71" t="s">
        <v>921</v>
      </c>
      <c r="G429" s="66" t="s">
        <v>390</v>
      </c>
      <c r="H429" s="66" t="s">
        <v>390</v>
      </c>
      <c r="I429" s="66"/>
      <c r="J429" s="66"/>
      <c r="K429" s="69">
        <v>180202695</v>
      </c>
      <c r="L429" s="69">
        <v>36040539</v>
      </c>
      <c r="M429" s="69">
        <f>+K429+L429</f>
        <v>216243234</v>
      </c>
      <c r="N429" s="71" t="s">
        <v>28</v>
      </c>
      <c r="O429" s="71" t="s">
        <v>51</v>
      </c>
      <c r="P429" s="66">
        <v>2025</v>
      </c>
      <c r="Q429" s="66"/>
      <c r="R429" s="66"/>
      <c r="S429" s="66"/>
      <c r="T429" s="80">
        <v>1</v>
      </c>
      <c r="U429" s="71" t="s">
        <v>69</v>
      </c>
    </row>
    <row r="430" spans="1:21" ht="40.9" customHeight="1">
      <c r="A430" s="93"/>
      <c r="B430" s="71" t="s">
        <v>915</v>
      </c>
      <c r="C430" s="66" t="s">
        <v>22</v>
      </c>
      <c r="D430" s="66" t="s">
        <v>174</v>
      </c>
      <c r="E430" s="81" t="s">
        <v>62</v>
      </c>
      <c r="F430" s="71" t="s">
        <v>922</v>
      </c>
      <c r="G430" s="66" t="s">
        <v>923</v>
      </c>
      <c r="H430" s="66" t="s">
        <v>923</v>
      </c>
      <c r="I430" s="66"/>
      <c r="J430" s="66"/>
      <c r="K430" s="69">
        <v>1190884976</v>
      </c>
      <c r="L430" s="69">
        <v>0</v>
      </c>
      <c r="M430" s="69">
        <f>+K430</f>
        <v>1190884976</v>
      </c>
      <c r="N430" s="71" t="s">
        <v>37</v>
      </c>
      <c r="O430" s="71"/>
      <c r="P430" s="66">
        <v>2025</v>
      </c>
      <c r="Q430" s="66" t="s">
        <v>177</v>
      </c>
      <c r="R430" s="66"/>
      <c r="S430" s="66"/>
      <c r="T430" s="80"/>
      <c r="U430" s="71" t="s">
        <v>248</v>
      </c>
    </row>
    <row r="431" spans="1:21" ht="40.9" customHeight="1">
      <c r="A431" s="93"/>
      <c r="B431" s="71" t="s">
        <v>915</v>
      </c>
      <c r="C431" s="66" t="s">
        <v>22</v>
      </c>
      <c r="D431" s="66" t="s">
        <v>174</v>
      </c>
      <c r="E431" s="81" t="s">
        <v>62</v>
      </c>
      <c r="F431" s="71" t="s">
        <v>924</v>
      </c>
      <c r="G431" s="66" t="s">
        <v>925</v>
      </c>
      <c r="H431" s="66" t="s">
        <v>925</v>
      </c>
      <c r="I431" s="66"/>
      <c r="J431" s="66"/>
      <c r="K431" s="69">
        <v>1387808198</v>
      </c>
      <c r="L431" s="69">
        <v>0</v>
      </c>
      <c r="M431" s="69">
        <f>+K431</f>
        <v>1387808198</v>
      </c>
      <c r="N431" s="71" t="s">
        <v>37</v>
      </c>
      <c r="O431" s="71"/>
      <c r="P431" s="66">
        <v>2025</v>
      </c>
      <c r="Q431" s="66" t="s">
        <v>177</v>
      </c>
      <c r="R431" s="66"/>
      <c r="S431" s="66"/>
      <c r="T431" s="80"/>
      <c r="U431" s="71" t="s">
        <v>248</v>
      </c>
    </row>
    <row r="432" spans="1:21" ht="13.9">
      <c r="A432" s="93"/>
      <c r="B432" s="71" t="s">
        <v>916</v>
      </c>
      <c r="C432" s="66" t="s">
        <v>22</v>
      </c>
      <c r="D432" s="66" t="s">
        <v>42</v>
      </c>
      <c r="E432" s="81">
        <v>2024057560039</v>
      </c>
      <c r="F432" s="71" t="s">
        <v>75</v>
      </c>
      <c r="G432" s="66" t="s">
        <v>105</v>
      </c>
      <c r="H432" s="66">
        <v>2</v>
      </c>
      <c r="I432" s="66"/>
      <c r="J432" s="66"/>
      <c r="K432" s="69">
        <v>3759906980</v>
      </c>
      <c r="L432" s="69">
        <v>939976745</v>
      </c>
      <c r="M432" s="69">
        <f>+K432+L432</f>
        <v>4699883725</v>
      </c>
      <c r="N432" s="2" t="s">
        <v>37</v>
      </c>
      <c r="O432" s="2" t="s">
        <v>45</v>
      </c>
      <c r="P432" s="66">
        <v>2024</v>
      </c>
      <c r="Q432" s="66" t="s">
        <v>30</v>
      </c>
      <c r="R432" s="66"/>
      <c r="S432" s="66"/>
      <c r="T432" s="80">
        <v>0.96450000000000002</v>
      </c>
      <c r="U432" s="71"/>
    </row>
    <row r="433" spans="1:21" ht="13.9">
      <c r="A433" s="93"/>
      <c r="B433" s="71" t="s">
        <v>915</v>
      </c>
      <c r="C433" s="66" t="s">
        <v>22</v>
      </c>
      <c r="D433" s="66" t="s">
        <v>42</v>
      </c>
      <c r="E433" s="81" t="s">
        <v>926</v>
      </c>
      <c r="F433" s="71" t="s">
        <v>80</v>
      </c>
      <c r="G433" s="66" t="s">
        <v>76</v>
      </c>
      <c r="H433" s="66">
        <v>1</v>
      </c>
      <c r="I433" s="66"/>
      <c r="J433" s="66"/>
      <c r="K433" s="69">
        <v>349719431</v>
      </c>
      <c r="L433" s="69">
        <v>745400000</v>
      </c>
      <c r="M433" s="69">
        <f>+K433+L433</f>
        <v>1095119431</v>
      </c>
      <c r="N433" s="71" t="s">
        <v>73</v>
      </c>
      <c r="O433" s="71" t="s">
        <v>51</v>
      </c>
      <c r="P433" s="66">
        <v>2025</v>
      </c>
      <c r="Q433" s="66" t="s">
        <v>30</v>
      </c>
      <c r="R433" s="66"/>
      <c r="S433" s="66"/>
      <c r="T433" s="70">
        <v>0.6</v>
      </c>
      <c r="U433" s="66"/>
    </row>
    <row r="434" spans="1:21" ht="13.9">
      <c r="A434" s="104"/>
      <c r="B434" s="71" t="s">
        <v>927</v>
      </c>
      <c r="C434" s="66" t="s">
        <v>41</v>
      </c>
      <c r="D434" s="66" t="s">
        <v>174</v>
      </c>
      <c r="E434" s="81"/>
      <c r="F434" s="71" t="s">
        <v>807</v>
      </c>
      <c r="G434" s="71" t="s">
        <v>928</v>
      </c>
      <c r="H434" s="71" t="s">
        <v>928</v>
      </c>
      <c r="I434" s="71"/>
      <c r="J434" s="71"/>
      <c r="K434" s="97">
        <v>12746524997</v>
      </c>
      <c r="L434" s="97">
        <v>1000000000</v>
      </c>
      <c r="M434" s="97">
        <f>+K434+L434</f>
        <v>13746524997</v>
      </c>
      <c r="N434" s="94" t="s">
        <v>37</v>
      </c>
      <c r="O434" s="94" t="s">
        <v>45</v>
      </c>
      <c r="P434" s="93">
        <v>2025</v>
      </c>
      <c r="Q434" s="66"/>
      <c r="R434" s="66"/>
      <c r="S434" s="66"/>
      <c r="T434" s="111">
        <v>0.65</v>
      </c>
      <c r="U434" s="93" t="s">
        <v>30</v>
      </c>
    </row>
    <row r="435" spans="1:21" ht="27.6" hidden="1">
      <c r="A435" s="104"/>
      <c r="B435" s="71" t="s">
        <v>927</v>
      </c>
      <c r="C435" s="66" t="s">
        <v>41</v>
      </c>
      <c r="D435" s="66" t="s">
        <v>42</v>
      </c>
      <c r="E435" s="81"/>
      <c r="F435" s="71" t="s">
        <v>929</v>
      </c>
      <c r="G435" s="71" t="s">
        <v>396</v>
      </c>
      <c r="H435" s="71">
        <v>1.5</v>
      </c>
      <c r="I435" s="71"/>
      <c r="J435" s="71"/>
      <c r="K435" s="97"/>
      <c r="L435" s="97"/>
      <c r="M435" s="97"/>
      <c r="N435" s="94"/>
      <c r="O435" s="94"/>
      <c r="P435" s="93"/>
      <c r="Q435" s="66"/>
      <c r="R435" s="66"/>
      <c r="S435" s="66"/>
      <c r="T435" s="111"/>
      <c r="U435" s="93"/>
    </row>
    <row r="436" spans="1:21" ht="13.9">
      <c r="A436" s="104"/>
      <c r="B436" s="71" t="s">
        <v>927</v>
      </c>
      <c r="C436" s="66" t="s">
        <v>41</v>
      </c>
      <c r="D436" s="66" t="s">
        <v>42</v>
      </c>
      <c r="E436" s="81" t="s">
        <v>930</v>
      </c>
      <c r="F436" s="71" t="s">
        <v>265</v>
      </c>
      <c r="G436" s="71" t="s">
        <v>399</v>
      </c>
      <c r="H436" s="71">
        <v>0.5</v>
      </c>
      <c r="I436" s="71"/>
      <c r="J436" s="71"/>
      <c r="K436" s="69">
        <v>175000000</v>
      </c>
      <c r="L436" s="69">
        <v>234109810</v>
      </c>
      <c r="M436" s="69">
        <f>+K436+L436</f>
        <v>409109810</v>
      </c>
      <c r="N436" s="71" t="s">
        <v>73</v>
      </c>
      <c r="O436" s="71" t="s">
        <v>51</v>
      </c>
      <c r="P436" s="66">
        <v>2025</v>
      </c>
      <c r="Q436" s="66"/>
      <c r="R436" s="66"/>
      <c r="S436" s="66"/>
      <c r="T436" s="70">
        <v>0.6</v>
      </c>
      <c r="U436" s="66" t="s">
        <v>343</v>
      </c>
    </row>
    <row r="437" spans="1:21" ht="13.9">
      <c r="A437" s="104"/>
      <c r="B437" s="71" t="s">
        <v>931</v>
      </c>
      <c r="C437" s="66" t="s">
        <v>41</v>
      </c>
      <c r="D437" s="66" t="s">
        <v>23</v>
      </c>
      <c r="E437" s="81">
        <v>4600017737</v>
      </c>
      <c r="F437" s="71" t="s">
        <v>208</v>
      </c>
      <c r="G437" s="71" t="s">
        <v>932</v>
      </c>
      <c r="H437" s="71">
        <v>46.45</v>
      </c>
      <c r="I437" s="71"/>
      <c r="J437" s="71"/>
      <c r="K437" s="69">
        <v>70349344</v>
      </c>
      <c r="L437" s="69">
        <v>0</v>
      </c>
      <c r="M437" s="69">
        <f>+K437</f>
        <v>70349344</v>
      </c>
      <c r="N437" s="71" t="s">
        <v>28</v>
      </c>
      <c r="O437" s="71" t="s">
        <v>51</v>
      </c>
      <c r="P437" s="66">
        <v>2024</v>
      </c>
      <c r="Q437" s="66"/>
      <c r="R437" s="66"/>
      <c r="S437" s="66"/>
      <c r="T437" s="70">
        <v>1</v>
      </c>
      <c r="U437" s="66" t="s">
        <v>81</v>
      </c>
    </row>
    <row r="438" spans="1:21" ht="13.9">
      <c r="A438" s="104"/>
      <c r="B438" s="71" t="s">
        <v>927</v>
      </c>
      <c r="C438" s="66" t="s">
        <v>41</v>
      </c>
      <c r="D438" s="66" t="s">
        <v>23</v>
      </c>
      <c r="E438" s="81"/>
      <c r="F438" s="71" t="s">
        <v>933</v>
      </c>
      <c r="G438" s="71" t="s">
        <v>674</v>
      </c>
      <c r="H438" s="71">
        <v>3</v>
      </c>
      <c r="I438" s="71"/>
      <c r="J438" s="71"/>
      <c r="K438" s="69">
        <v>8267000000</v>
      </c>
      <c r="L438" s="69">
        <v>0</v>
      </c>
      <c r="M438" s="69">
        <f>+K438</f>
        <v>8267000000</v>
      </c>
      <c r="N438" s="71" t="s">
        <v>28</v>
      </c>
      <c r="O438" s="71" t="s">
        <v>339</v>
      </c>
      <c r="P438" s="66">
        <v>2024</v>
      </c>
      <c r="Q438" s="66"/>
      <c r="R438" s="66"/>
      <c r="S438" s="66"/>
      <c r="T438" s="70">
        <v>1</v>
      </c>
      <c r="U438" s="66" t="s">
        <v>69</v>
      </c>
    </row>
    <row r="439" spans="1:21" ht="27.6">
      <c r="A439" s="100"/>
      <c r="B439" s="71" t="s">
        <v>927</v>
      </c>
      <c r="C439" s="66" t="s">
        <v>41</v>
      </c>
      <c r="D439" s="66" t="s">
        <v>23</v>
      </c>
      <c r="E439" s="81"/>
      <c r="F439" s="71" t="s">
        <v>101</v>
      </c>
      <c r="G439" s="71" t="s">
        <v>934</v>
      </c>
      <c r="H439" s="71" t="s">
        <v>935</v>
      </c>
      <c r="I439" s="71"/>
      <c r="J439" s="71"/>
      <c r="K439" s="79">
        <f>1400000000*33.59</f>
        <v>47026000000.000008</v>
      </c>
      <c r="L439" s="79">
        <v>0</v>
      </c>
      <c r="M439" s="69">
        <f>+K439</f>
        <v>47026000000.000008</v>
      </c>
      <c r="N439" s="71" t="s">
        <v>28</v>
      </c>
      <c r="O439" s="71" t="s">
        <v>96</v>
      </c>
      <c r="P439" s="66">
        <v>2025</v>
      </c>
      <c r="Q439" s="66" t="s">
        <v>30</v>
      </c>
      <c r="R439" s="85"/>
      <c r="S439" s="87"/>
      <c r="T439" s="80"/>
      <c r="U439" s="71" t="s">
        <v>708</v>
      </c>
    </row>
    <row r="440" spans="1:21" ht="57" customHeight="1">
      <c r="A440" s="99">
        <v>109</v>
      </c>
      <c r="B440" s="71" t="s">
        <v>936</v>
      </c>
      <c r="C440" s="66" t="s">
        <v>83</v>
      </c>
      <c r="D440" s="66" t="s">
        <v>23</v>
      </c>
      <c r="E440" s="81"/>
      <c r="F440" s="71" t="s">
        <v>937</v>
      </c>
      <c r="G440" s="71" t="s">
        <v>938</v>
      </c>
      <c r="H440" s="71">
        <v>6.29</v>
      </c>
      <c r="I440" s="71"/>
      <c r="J440" s="71"/>
      <c r="K440" s="3">
        <v>25903591518</v>
      </c>
      <c r="L440" s="3">
        <v>0</v>
      </c>
      <c r="M440" s="2">
        <f>+K440</f>
        <v>25903591518</v>
      </c>
      <c r="N440" s="71" t="s">
        <v>28</v>
      </c>
      <c r="O440" s="71" t="s">
        <v>96</v>
      </c>
      <c r="P440" s="66">
        <v>2024</v>
      </c>
      <c r="Q440" s="66"/>
      <c r="R440" s="66"/>
      <c r="S440" s="66"/>
      <c r="T440" s="80">
        <v>0.25</v>
      </c>
      <c r="U440" s="66" t="s">
        <v>30</v>
      </c>
    </row>
    <row r="441" spans="1:21" ht="57" customHeight="1">
      <c r="A441" s="104"/>
      <c r="B441" s="71" t="s">
        <v>939</v>
      </c>
      <c r="C441" s="66" t="s">
        <v>83</v>
      </c>
      <c r="D441" s="66" t="s">
        <v>23</v>
      </c>
      <c r="E441" s="81"/>
      <c r="F441" s="71" t="s">
        <v>436</v>
      </c>
      <c r="G441" s="66" t="s">
        <v>940</v>
      </c>
      <c r="H441" s="66"/>
      <c r="I441" s="66"/>
      <c r="J441" s="66"/>
      <c r="K441" s="3" t="s">
        <v>941</v>
      </c>
      <c r="L441" s="2">
        <v>0</v>
      </c>
      <c r="M441" s="2" t="str">
        <f>+K441</f>
        <v xml:space="preserve">$ 29.089.234.439
</v>
      </c>
      <c r="N441" s="71" t="s">
        <v>28</v>
      </c>
      <c r="O441" s="71" t="s">
        <v>96</v>
      </c>
      <c r="P441" s="66">
        <v>2025</v>
      </c>
      <c r="Q441" s="66" t="s">
        <v>30</v>
      </c>
      <c r="R441" s="85"/>
      <c r="S441" s="87"/>
      <c r="T441" s="80"/>
      <c r="U441" s="71" t="s">
        <v>708</v>
      </c>
    </row>
    <row r="442" spans="1:21" ht="36.6" customHeight="1">
      <c r="A442" s="104"/>
      <c r="B442" s="71" t="s">
        <v>939</v>
      </c>
      <c r="C442" s="66" t="s">
        <v>83</v>
      </c>
      <c r="D442" s="66" t="s">
        <v>42</v>
      </c>
      <c r="E442" s="81" t="s">
        <v>146</v>
      </c>
      <c r="F442" s="71" t="s">
        <v>80</v>
      </c>
      <c r="G442" s="66" t="s">
        <v>76</v>
      </c>
      <c r="H442" s="66">
        <v>1</v>
      </c>
      <c r="I442" s="66"/>
      <c r="J442" s="66"/>
      <c r="K442" s="2">
        <v>292810701</v>
      </c>
      <c r="L442" s="2">
        <v>341068108</v>
      </c>
      <c r="M442" s="2">
        <v>858878809</v>
      </c>
      <c r="N442" s="71" t="s">
        <v>147</v>
      </c>
      <c r="O442" s="71" t="s">
        <v>51</v>
      </c>
      <c r="P442" s="66">
        <v>2024</v>
      </c>
      <c r="Q442" s="66" t="s">
        <v>115</v>
      </c>
      <c r="R442" s="66"/>
      <c r="S442" s="66"/>
      <c r="T442" s="80">
        <v>1</v>
      </c>
      <c r="U442" s="71" t="s">
        <v>69</v>
      </c>
    </row>
    <row r="443" spans="1:21" ht="36.6" customHeight="1">
      <c r="A443" s="104"/>
      <c r="B443" s="71" t="s">
        <v>939</v>
      </c>
      <c r="C443" s="66" t="s">
        <v>83</v>
      </c>
      <c r="D443" s="66" t="s">
        <v>23</v>
      </c>
      <c r="E443" s="81">
        <v>4600017729</v>
      </c>
      <c r="F443" s="71" t="s">
        <v>208</v>
      </c>
      <c r="G443" s="66" t="s">
        <v>942</v>
      </c>
      <c r="H443" s="66">
        <v>46.5</v>
      </c>
      <c r="I443" s="66"/>
      <c r="J443" s="66"/>
      <c r="K443" s="69">
        <v>62233866</v>
      </c>
      <c r="L443" s="2">
        <v>0</v>
      </c>
      <c r="M443" s="2">
        <f>+K443</f>
        <v>62233866</v>
      </c>
      <c r="N443" s="71" t="s">
        <v>330</v>
      </c>
      <c r="O443" s="71" t="s">
        <v>51</v>
      </c>
      <c r="P443" s="66">
        <v>2024</v>
      </c>
      <c r="Q443" s="66"/>
      <c r="R443" s="66"/>
      <c r="S443" s="66"/>
      <c r="T443" s="80">
        <v>1</v>
      </c>
      <c r="U443" s="71" t="s">
        <v>81</v>
      </c>
    </row>
    <row r="444" spans="1:21" ht="64.900000000000006" customHeight="1">
      <c r="A444" s="104"/>
      <c r="B444" s="71" t="s">
        <v>939</v>
      </c>
      <c r="C444" s="66" t="s">
        <v>83</v>
      </c>
      <c r="D444" s="66" t="s">
        <v>23</v>
      </c>
      <c r="E444" s="81">
        <v>4600016804</v>
      </c>
      <c r="F444" s="71" t="s">
        <v>943</v>
      </c>
      <c r="G444" s="66" t="s">
        <v>944</v>
      </c>
      <c r="H444" s="66">
        <v>6.87</v>
      </c>
      <c r="I444" s="66"/>
      <c r="J444" s="66"/>
      <c r="K444" s="2">
        <f>+M444</f>
        <v>22110000000</v>
      </c>
      <c r="L444" s="2">
        <v>0</v>
      </c>
      <c r="M444" s="2">
        <v>22110000000</v>
      </c>
      <c r="N444" s="71" t="s">
        <v>496</v>
      </c>
      <c r="O444" s="71" t="s">
        <v>96</v>
      </c>
      <c r="P444" s="66">
        <v>2025</v>
      </c>
      <c r="Q444" s="66"/>
      <c r="R444" s="66"/>
      <c r="S444" s="66"/>
      <c r="T444" s="16"/>
      <c r="U444" s="71" t="s">
        <v>945</v>
      </c>
    </row>
    <row r="445" spans="1:21" ht="36.6" customHeight="1">
      <c r="A445" s="104"/>
      <c r="B445" s="71" t="s">
        <v>939</v>
      </c>
      <c r="C445" s="66" t="s">
        <v>83</v>
      </c>
      <c r="D445" s="66" t="s">
        <v>119</v>
      </c>
      <c r="E445" s="81"/>
      <c r="F445" s="71" t="s">
        <v>946</v>
      </c>
      <c r="G445" s="66" t="s">
        <v>390</v>
      </c>
      <c r="H445" s="66" t="s">
        <v>390</v>
      </c>
      <c r="I445" s="66"/>
      <c r="J445" s="66"/>
      <c r="K445" s="2">
        <v>200000000</v>
      </c>
      <c r="L445" s="2">
        <v>200000000</v>
      </c>
      <c r="M445" s="2">
        <f>+K445+L445</f>
        <v>400000000</v>
      </c>
      <c r="N445" s="71" t="s">
        <v>28</v>
      </c>
      <c r="O445" s="71" t="s">
        <v>51</v>
      </c>
      <c r="P445" s="66">
        <v>2025</v>
      </c>
      <c r="Q445" s="66"/>
      <c r="R445" s="66"/>
      <c r="S445" s="66"/>
      <c r="T445" s="80"/>
      <c r="U445" s="71" t="s">
        <v>30</v>
      </c>
    </row>
    <row r="446" spans="1:21" ht="36.6" hidden="1" customHeight="1">
      <c r="A446" s="104"/>
      <c r="B446" s="71" t="s">
        <v>939</v>
      </c>
      <c r="C446" s="66" t="s">
        <v>83</v>
      </c>
      <c r="D446" s="66" t="s">
        <v>42</v>
      </c>
      <c r="E446" s="81">
        <v>2025003050044</v>
      </c>
      <c r="F446" s="71" t="s">
        <v>947</v>
      </c>
      <c r="G446" s="66" t="s">
        <v>201</v>
      </c>
      <c r="H446" s="66">
        <v>1.1000000000000001</v>
      </c>
      <c r="I446" s="66"/>
      <c r="J446" s="66"/>
      <c r="K446" s="2"/>
      <c r="L446" s="2"/>
      <c r="M446" s="2"/>
      <c r="N446" s="71"/>
      <c r="O446" s="71"/>
      <c r="P446" s="66"/>
      <c r="Q446" s="66"/>
      <c r="R446" s="66"/>
      <c r="S446" s="66"/>
      <c r="T446" s="80"/>
      <c r="U446" s="71"/>
    </row>
    <row r="447" spans="1:21" ht="15" customHeight="1">
      <c r="A447" s="100"/>
      <c r="B447" s="71" t="s">
        <v>939</v>
      </c>
      <c r="C447" s="66" t="s">
        <v>83</v>
      </c>
      <c r="D447" s="66" t="s">
        <v>42</v>
      </c>
      <c r="E447" s="81">
        <v>2024057890040</v>
      </c>
      <c r="F447" s="71" t="s">
        <v>948</v>
      </c>
      <c r="G447" s="66" t="s">
        <v>474</v>
      </c>
      <c r="H447" s="66">
        <v>1.3</v>
      </c>
      <c r="I447" s="66"/>
      <c r="J447" s="66"/>
      <c r="K447" s="69">
        <v>2428486007</v>
      </c>
      <c r="L447" s="69">
        <f>+M447-K447</f>
        <v>607121502</v>
      </c>
      <c r="M447" s="2">
        <v>3035607509</v>
      </c>
      <c r="N447" s="2" t="s">
        <v>37</v>
      </c>
      <c r="O447" s="2" t="s">
        <v>45</v>
      </c>
      <c r="P447" s="66">
        <v>2024</v>
      </c>
      <c r="Q447" s="66" t="s">
        <v>52</v>
      </c>
      <c r="R447" s="66"/>
      <c r="S447" s="66"/>
      <c r="T447" s="80">
        <v>1</v>
      </c>
      <c r="U447" s="44"/>
    </row>
    <row r="448" spans="1:21" ht="27.6">
      <c r="A448" s="93"/>
      <c r="B448" s="71" t="s">
        <v>949</v>
      </c>
      <c r="C448" s="66" t="s">
        <v>292</v>
      </c>
      <c r="D448" s="66" t="s">
        <v>174</v>
      </c>
      <c r="E448" s="81">
        <v>2025003050040</v>
      </c>
      <c r="F448" s="71" t="s">
        <v>950</v>
      </c>
      <c r="G448" s="71" t="s">
        <v>951</v>
      </c>
      <c r="H448" s="71"/>
      <c r="I448" s="71" t="s">
        <v>106</v>
      </c>
      <c r="J448" s="71" t="s">
        <v>649</v>
      </c>
      <c r="K448" s="2">
        <v>2540216819</v>
      </c>
      <c r="L448" s="2">
        <v>0</v>
      </c>
      <c r="M448" s="2">
        <f>+K448</f>
        <v>2540216819</v>
      </c>
      <c r="N448" s="2" t="s">
        <v>220</v>
      </c>
      <c r="O448" s="71" t="s">
        <v>29</v>
      </c>
      <c r="P448" s="66">
        <v>2026</v>
      </c>
      <c r="Q448" s="66" t="s">
        <v>99</v>
      </c>
      <c r="R448" s="66"/>
      <c r="S448" s="66"/>
      <c r="T448" s="80"/>
      <c r="U448" s="71" t="s">
        <v>952</v>
      </c>
    </row>
    <row r="449" spans="1:21" ht="41.45">
      <c r="A449" s="93"/>
      <c r="B449" s="51" t="s">
        <v>949</v>
      </c>
      <c r="C449" s="52" t="s">
        <v>292</v>
      </c>
      <c r="D449" s="52" t="s">
        <v>42</v>
      </c>
      <c r="E449" s="53" t="s">
        <v>953</v>
      </c>
      <c r="F449" s="51" t="s">
        <v>954</v>
      </c>
      <c r="G449" s="52" t="s">
        <v>76</v>
      </c>
      <c r="H449" s="52">
        <v>1</v>
      </c>
      <c r="I449" s="52" t="s">
        <v>88</v>
      </c>
      <c r="J449" s="52" t="s">
        <v>55</v>
      </c>
      <c r="K449" s="30">
        <v>349958856</v>
      </c>
      <c r="L449" s="30">
        <v>580000000</v>
      </c>
      <c r="M449" s="54">
        <f>+K449+L449</f>
        <v>929958856</v>
      </c>
      <c r="N449" s="51" t="s">
        <v>73</v>
      </c>
      <c r="O449" s="51" t="s">
        <v>51</v>
      </c>
      <c r="P449" s="52">
        <v>2024</v>
      </c>
      <c r="Q449" s="52" t="s">
        <v>52</v>
      </c>
      <c r="R449" s="52"/>
      <c r="S449" s="52"/>
      <c r="T449" s="32">
        <v>0.33</v>
      </c>
      <c r="U449" s="51" t="s">
        <v>955</v>
      </c>
    </row>
    <row r="450" spans="1:21" ht="27.6" hidden="1">
      <c r="A450" s="99">
        <v>111</v>
      </c>
      <c r="B450" s="71" t="s">
        <v>956</v>
      </c>
      <c r="C450" s="66" t="s">
        <v>83</v>
      </c>
      <c r="D450" s="66" t="s">
        <v>42</v>
      </c>
      <c r="E450" s="81">
        <v>2022003050024</v>
      </c>
      <c r="F450" s="71" t="s">
        <v>957</v>
      </c>
      <c r="G450" s="66" t="s">
        <v>958</v>
      </c>
      <c r="H450" s="66">
        <v>1.7</v>
      </c>
      <c r="I450" s="66"/>
      <c r="J450" s="66"/>
      <c r="K450" s="79">
        <v>1500000000</v>
      </c>
      <c r="L450" s="69">
        <v>521570833</v>
      </c>
      <c r="M450" s="69">
        <f>+K450+L450</f>
        <v>2021570833</v>
      </c>
      <c r="N450" s="71" t="s">
        <v>37</v>
      </c>
      <c r="O450" s="71" t="s">
        <v>596</v>
      </c>
      <c r="P450" s="66">
        <v>2022</v>
      </c>
      <c r="Q450" s="66"/>
      <c r="R450" s="66"/>
      <c r="S450" s="66"/>
      <c r="T450" s="80">
        <v>0.9</v>
      </c>
      <c r="U450" s="66" t="s">
        <v>30</v>
      </c>
    </row>
    <row r="451" spans="1:21" ht="15" customHeight="1">
      <c r="A451" s="104"/>
      <c r="B451" s="71" t="s">
        <v>956</v>
      </c>
      <c r="C451" s="66" t="s">
        <v>83</v>
      </c>
      <c r="D451" s="66" t="s">
        <v>23</v>
      </c>
      <c r="E451" s="81">
        <v>4600017699</v>
      </c>
      <c r="F451" s="71" t="s">
        <v>208</v>
      </c>
      <c r="G451" s="66" t="s">
        <v>959</v>
      </c>
      <c r="H451" s="66">
        <v>50.3</v>
      </c>
      <c r="I451" s="66"/>
      <c r="J451" s="66"/>
      <c r="K451" s="69">
        <v>66872948</v>
      </c>
      <c r="L451" s="69">
        <v>0</v>
      </c>
      <c r="M451" s="2">
        <f>+K451</f>
        <v>66872948</v>
      </c>
      <c r="N451" s="2" t="s">
        <v>330</v>
      </c>
      <c r="O451" s="2" t="s">
        <v>51</v>
      </c>
      <c r="P451" s="66">
        <v>2024</v>
      </c>
      <c r="Q451" s="66"/>
      <c r="R451" s="66"/>
      <c r="S451" s="66"/>
      <c r="T451" s="80">
        <v>1</v>
      </c>
      <c r="U451" s="44" t="s">
        <v>81</v>
      </c>
    </row>
    <row r="452" spans="1:21" ht="15" customHeight="1">
      <c r="A452" s="104"/>
      <c r="B452" s="71" t="s">
        <v>956</v>
      </c>
      <c r="C452" s="66" t="s">
        <v>83</v>
      </c>
      <c r="D452" s="66" t="s">
        <v>131</v>
      </c>
      <c r="E452" s="81">
        <v>4600017793</v>
      </c>
      <c r="F452" s="71" t="s">
        <v>453</v>
      </c>
      <c r="G452" s="66" t="s">
        <v>960</v>
      </c>
      <c r="H452" s="66"/>
      <c r="I452" s="71" t="s">
        <v>26</v>
      </c>
      <c r="J452" s="71" t="s">
        <v>134</v>
      </c>
      <c r="K452" s="2">
        <v>17166424376</v>
      </c>
      <c r="L452" s="69">
        <v>0</v>
      </c>
      <c r="M452" s="42">
        <f>+K452</f>
        <v>17166424376</v>
      </c>
      <c r="N452" s="71" t="s">
        <v>28</v>
      </c>
      <c r="O452" s="71" t="s">
        <v>78</v>
      </c>
      <c r="P452" s="66">
        <v>2024</v>
      </c>
      <c r="Q452" s="66" t="s">
        <v>30</v>
      </c>
      <c r="R452" s="66"/>
      <c r="S452" s="66"/>
      <c r="T452" s="70">
        <v>0.87</v>
      </c>
      <c r="U452" s="71" t="s">
        <v>136</v>
      </c>
    </row>
    <row r="453" spans="1:21" ht="15" customHeight="1">
      <c r="A453" s="100"/>
      <c r="B453" s="71" t="s">
        <v>956</v>
      </c>
      <c r="C453" s="66" t="s">
        <v>83</v>
      </c>
      <c r="D453" s="66" t="s">
        <v>42</v>
      </c>
      <c r="E453" s="81" t="s">
        <v>961</v>
      </c>
      <c r="F453" s="71" t="s">
        <v>80</v>
      </c>
      <c r="G453" s="66" t="s">
        <v>962</v>
      </c>
      <c r="H453" s="66">
        <v>0.6</v>
      </c>
      <c r="I453" s="66"/>
      <c r="J453" s="66"/>
      <c r="K453" s="69">
        <v>210000000</v>
      </c>
      <c r="L453" s="69">
        <v>510513945</v>
      </c>
      <c r="M453" s="69">
        <f>+K453+L453</f>
        <v>720513945</v>
      </c>
      <c r="N453" s="71" t="s">
        <v>73</v>
      </c>
      <c r="O453" s="71" t="s">
        <v>51</v>
      </c>
      <c r="P453" s="66">
        <v>2024</v>
      </c>
      <c r="Q453" s="66"/>
      <c r="R453" s="66"/>
      <c r="S453" s="66"/>
      <c r="T453" s="80">
        <v>1</v>
      </c>
      <c r="U453" s="71" t="s">
        <v>69</v>
      </c>
    </row>
    <row r="454" spans="1:21" ht="42.6" customHeight="1">
      <c r="A454" s="93">
        <v>112</v>
      </c>
      <c r="B454" s="71" t="s">
        <v>963</v>
      </c>
      <c r="C454" s="66" t="s">
        <v>83</v>
      </c>
      <c r="D454" s="66" t="s">
        <v>23</v>
      </c>
      <c r="E454" s="81" t="s">
        <v>108</v>
      </c>
      <c r="F454" s="71" t="s">
        <v>101</v>
      </c>
      <c r="G454" s="66" t="s">
        <v>964</v>
      </c>
      <c r="H454" s="66" t="s">
        <v>965</v>
      </c>
      <c r="I454" s="66" t="s">
        <v>26</v>
      </c>
      <c r="J454" s="66" t="s">
        <v>27</v>
      </c>
      <c r="K454" s="69">
        <f>1341963493*5</f>
        <v>6709817465</v>
      </c>
      <c r="L454" s="69">
        <v>0</v>
      </c>
      <c r="M454" s="69">
        <f>+K454</f>
        <v>6709817465</v>
      </c>
      <c r="N454" s="71" t="s">
        <v>28</v>
      </c>
      <c r="O454" s="71" t="s">
        <v>96</v>
      </c>
      <c r="P454" s="66">
        <v>2025</v>
      </c>
      <c r="Q454" s="66" t="s">
        <v>99</v>
      </c>
      <c r="R454" s="85"/>
      <c r="S454" s="87"/>
      <c r="T454" s="80"/>
      <c r="U454" s="66" t="s">
        <v>154</v>
      </c>
    </row>
    <row r="455" spans="1:21" ht="13.9">
      <c r="A455" s="93"/>
      <c r="B455" s="71" t="s">
        <v>963</v>
      </c>
      <c r="C455" s="66" t="s">
        <v>83</v>
      </c>
      <c r="D455" s="66" t="s">
        <v>907</v>
      </c>
      <c r="E455" s="81" t="s">
        <v>146</v>
      </c>
      <c r="F455" s="71" t="s">
        <v>80</v>
      </c>
      <c r="G455" s="66" t="s">
        <v>76</v>
      </c>
      <c r="H455" s="66">
        <v>1</v>
      </c>
      <c r="I455" s="66" t="s">
        <v>88</v>
      </c>
      <c r="J455" s="66"/>
      <c r="K455" s="69">
        <v>259565648</v>
      </c>
      <c r="L455" s="69">
        <v>377393194</v>
      </c>
      <c r="M455" s="2">
        <v>821958429</v>
      </c>
      <c r="N455" s="71" t="s">
        <v>147</v>
      </c>
      <c r="O455" s="71" t="s">
        <v>51</v>
      </c>
      <c r="P455" s="66">
        <v>2024</v>
      </c>
      <c r="Q455" s="66" t="s">
        <v>38</v>
      </c>
      <c r="R455" s="66"/>
      <c r="S455" s="66"/>
      <c r="T455" s="80">
        <v>1</v>
      </c>
      <c r="U455" s="71"/>
    </row>
    <row r="456" spans="1:21" ht="15" customHeight="1">
      <c r="A456" s="93"/>
      <c r="B456" s="71" t="s">
        <v>963</v>
      </c>
      <c r="C456" s="66" t="s">
        <v>83</v>
      </c>
      <c r="D456" s="66" t="s">
        <v>42</v>
      </c>
      <c r="E456" s="81">
        <v>2025003050008</v>
      </c>
      <c r="F456" s="71" t="s">
        <v>75</v>
      </c>
      <c r="G456" s="66" t="s">
        <v>966</v>
      </c>
      <c r="H456" s="66">
        <v>1.2</v>
      </c>
      <c r="I456" s="66" t="s">
        <v>88</v>
      </c>
      <c r="J456" s="66"/>
      <c r="K456" s="69">
        <f>+M456*80%</f>
        <v>2129041089.6000001</v>
      </c>
      <c r="L456" s="69">
        <f>+M456*20%</f>
        <v>532260272.40000004</v>
      </c>
      <c r="M456" s="2">
        <v>2661301362</v>
      </c>
      <c r="N456" s="2" t="s">
        <v>37</v>
      </c>
      <c r="O456" s="2" t="s">
        <v>45</v>
      </c>
      <c r="P456" s="66">
        <v>2025</v>
      </c>
      <c r="Q456" s="66" t="s">
        <v>38</v>
      </c>
      <c r="R456" s="66"/>
      <c r="S456" s="66"/>
      <c r="T456" s="80">
        <v>1</v>
      </c>
      <c r="U456" s="71"/>
    </row>
    <row r="457" spans="1:21" ht="27.6">
      <c r="A457" s="93">
        <v>113</v>
      </c>
      <c r="B457" s="71" t="s">
        <v>967</v>
      </c>
      <c r="C457" s="66" t="s">
        <v>149</v>
      </c>
      <c r="D457" s="66" t="s">
        <v>174</v>
      </c>
      <c r="E457" s="81">
        <v>2026003050015</v>
      </c>
      <c r="F457" s="71" t="s">
        <v>968</v>
      </c>
      <c r="G457" s="66" t="s">
        <v>969</v>
      </c>
      <c r="H457" s="66"/>
      <c r="I457" s="66"/>
      <c r="J457" s="66"/>
      <c r="K457" s="69">
        <v>4936040789</v>
      </c>
      <c r="L457" s="69">
        <v>0</v>
      </c>
      <c r="M457" s="2">
        <v>4936040789</v>
      </c>
      <c r="N457" s="2" t="s">
        <v>37</v>
      </c>
      <c r="O457" s="2" t="s">
        <v>78</v>
      </c>
      <c r="P457" s="66">
        <v>2026</v>
      </c>
      <c r="Q457" s="66" t="s">
        <v>129</v>
      </c>
      <c r="R457" s="66"/>
      <c r="S457" s="66"/>
      <c r="T457" s="80"/>
      <c r="U457" s="71" t="s">
        <v>593</v>
      </c>
    </row>
    <row r="458" spans="1:21" ht="13.9">
      <c r="A458" s="93"/>
      <c r="B458" s="71" t="s">
        <v>967</v>
      </c>
      <c r="C458" s="66" t="s">
        <v>149</v>
      </c>
      <c r="D458" s="66" t="s">
        <v>23</v>
      </c>
      <c r="E458" s="81"/>
      <c r="F458" s="71" t="s">
        <v>101</v>
      </c>
      <c r="G458" s="66" t="s">
        <v>970</v>
      </c>
      <c r="H458" s="66">
        <v>10</v>
      </c>
      <c r="I458" s="66"/>
      <c r="J458" s="66"/>
      <c r="K458" s="69">
        <f>1341407247*15</f>
        <v>20121108705</v>
      </c>
      <c r="L458" s="69">
        <v>0</v>
      </c>
      <c r="M458" s="2">
        <f>+K458</f>
        <v>20121108705</v>
      </c>
      <c r="N458" s="2" t="s">
        <v>28</v>
      </c>
      <c r="O458" s="2" t="s">
        <v>96</v>
      </c>
      <c r="P458" s="66">
        <v>2025</v>
      </c>
      <c r="Q458" s="66" t="s">
        <v>30</v>
      </c>
      <c r="R458" s="85"/>
      <c r="S458" s="87"/>
      <c r="T458" s="80"/>
      <c r="U458" s="66" t="s">
        <v>154</v>
      </c>
    </row>
    <row r="459" spans="1:21" ht="37.9" customHeight="1">
      <c r="A459" s="93"/>
      <c r="B459" s="71" t="s">
        <v>967</v>
      </c>
      <c r="C459" s="66" t="s">
        <v>149</v>
      </c>
      <c r="D459" s="66" t="s">
        <v>42</v>
      </c>
      <c r="E459" s="81" t="s">
        <v>971</v>
      </c>
      <c r="F459" s="71" t="s">
        <v>265</v>
      </c>
      <c r="G459" s="66">
        <v>0.2</v>
      </c>
      <c r="H459" s="66">
        <v>0.2</v>
      </c>
      <c r="I459" s="66"/>
      <c r="J459" s="66"/>
      <c r="K459" s="69">
        <v>70000000</v>
      </c>
      <c r="L459" s="69">
        <v>226832319</v>
      </c>
      <c r="M459" s="2">
        <f>+K459+L459</f>
        <v>296832319</v>
      </c>
      <c r="N459" s="2" t="s">
        <v>73</v>
      </c>
      <c r="O459" s="2" t="s">
        <v>51</v>
      </c>
      <c r="P459" s="66">
        <v>2025</v>
      </c>
      <c r="Q459" s="66" t="s">
        <v>30</v>
      </c>
      <c r="R459" s="66"/>
      <c r="S459" s="66"/>
      <c r="T459" s="80">
        <v>0.4</v>
      </c>
      <c r="U459" s="66"/>
    </row>
    <row r="460" spans="1:21" ht="37.9" hidden="1" customHeight="1">
      <c r="A460" s="93"/>
      <c r="B460" s="71" t="s">
        <v>967</v>
      </c>
      <c r="C460" s="66" t="s">
        <v>149</v>
      </c>
      <c r="D460" s="66" t="s">
        <v>42</v>
      </c>
      <c r="E460" s="81">
        <v>2025003050053</v>
      </c>
      <c r="F460" s="71" t="s">
        <v>972</v>
      </c>
      <c r="G460" s="66" t="s">
        <v>76</v>
      </c>
      <c r="H460" s="66">
        <v>1</v>
      </c>
      <c r="I460" s="66"/>
      <c r="J460" s="66"/>
      <c r="K460" s="69">
        <v>2149409352</v>
      </c>
      <c r="L460" s="69">
        <v>0</v>
      </c>
      <c r="M460" s="2">
        <f>+K460</f>
        <v>2149409352</v>
      </c>
      <c r="N460" s="2" t="s">
        <v>37</v>
      </c>
      <c r="O460" s="2" t="s">
        <v>78</v>
      </c>
      <c r="P460" s="66"/>
      <c r="Q460" s="66"/>
      <c r="R460" s="66"/>
      <c r="S460" s="66"/>
      <c r="T460" s="80"/>
      <c r="U460" s="66"/>
    </row>
    <row r="461" spans="1:21" ht="15" customHeight="1">
      <c r="A461" s="93"/>
      <c r="B461" s="71" t="s">
        <v>967</v>
      </c>
      <c r="C461" s="66" t="s">
        <v>149</v>
      </c>
      <c r="D461" s="66" t="s">
        <v>42</v>
      </c>
      <c r="E461" s="81" t="s">
        <v>973</v>
      </c>
      <c r="F461" s="71" t="s">
        <v>80</v>
      </c>
      <c r="G461" s="66" t="s">
        <v>76</v>
      </c>
      <c r="H461" s="66">
        <v>1</v>
      </c>
      <c r="I461" s="66"/>
      <c r="J461" s="66"/>
      <c r="K461" s="2">
        <v>349998384</v>
      </c>
      <c r="L461" s="69">
        <v>300000181</v>
      </c>
      <c r="M461" s="69">
        <f>+K495+L461</f>
        <v>622265033</v>
      </c>
      <c r="N461" s="79" t="s">
        <v>73</v>
      </c>
      <c r="O461" s="71" t="s">
        <v>51</v>
      </c>
      <c r="P461" s="66">
        <v>2024</v>
      </c>
      <c r="Q461" s="66" t="s">
        <v>38</v>
      </c>
      <c r="R461" s="66"/>
      <c r="S461" s="66"/>
      <c r="T461" s="80">
        <v>1</v>
      </c>
      <c r="U461" s="71" t="s">
        <v>69</v>
      </c>
    </row>
    <row r="462" spans="1:21" ht="55.15">
      <c r="A462" s="66"/>
      <c r="B462" s="71" t="s">
        <v>974</v>
      </c>
      <c r="C462" s="66" t="s">
        <v>181</v>
      </c>
      <c r="D462" s="66" t="s">
        <v>131</v>
      </c>
      <c r="E462" s="81">
        <v>4600017793</v>
      </c>
      <c r="F462" s="71" t="s">
        <v>453</v>
      </c>
      <c r="G462" s="71" t="s">
        <v>975</v>
      </c>
      <c r="H462" s="71"/>
      <c r="I462" s="71" t="s">
        <v>26</v>
      </c>
      <c r="J462" s="71" t="s">
        <v>134</v>
      </c>
      <c r="K462" s="2">
        <v>17166424376</v>
      </c>
      <c r="L462" s="69">
        <v>0</v>
      </c>
      <c r="M462" s="42">
        <f>+K462</f>
        <v>17166424376</v>
      </c>
      <c r="N462" s="71" t="s">
        <v>28</v>
      </c>
      <c r="O462" s="71" t="s">
        <v>78</v>
      </c>
      <c r="P462" s="66">
        <v>2024</v>
      </c>
      <c r="Q462" s="66" t="s">
        <v>30</v>
      </c>
      <c r="R462" s="66"/>
      <c r="S462" s="66"/>
      <c r="T462" s="70"/>
      <c r="U462" s="83" t="s">
        <v>136</v>
      </c>
    </row>
    <row r="463" spans="1:21" ht="43.15" customHeight="1">
      <c r="A463" s="66"/>
      <c r="B463" s="71" t="s">
        <v>974</v>
      </c>
      <c r="C463" s="66" t="s">
        <v>181</v>
      </c>
      <c r="D463" s="66" t="s">
        <v>42</v>
      </c>
      <c r="E463" s="81" t="s">
        <v>976</v>
      </c>
      <c r="F463" s="71" t="s">
        <v>977</v>
      </c>
      <c r="G463" s="71" t="s">
        <v>204</v>
      </c>
      <c r="H463" s="71">
        <v>0.1</v>
      </c>
      <c r="I463" s="71"/>
      <c r="J463" s="71"/>
      <c r="K463" s="2">
        <v>122381125</v>
      </c>
      <c r="L463" s="69">
        <v>18935627</v>
      </c>
      <c r="M463" s="69">
        <f>+K463+L463</f>
        <v>141316752</v>
      </c>
      <c r="N463" s="79" t="s">
        <v>28</v>
      </c>
      <c r="O463" s="71" t="s">
        <v>114</v>
      </c>
      <c r="P463" s="66">
        <v>2025</v>
      </c>
      <c r="Q463" s="66" t="s">
        <v>30</v>
      </c>
      <c r="R463" s="66"/>
      <c r="S463" s="66"/>
      <c r="T463" s="80">
        <v>0.88</v>
      </c>
      <c r="U463" s="71"/>
    </row>
    <row r="464" spans="1:21" ht="43.15" customHeight="1">
      <c r="A464" s="66"/>
      <c r="B464" s="71" t="s">
        <v>974</v>
      </c>
      <c r="C464" s="66" t="s">
        <v>181</v>
      </c>
      <c r="D464" s="66" t="s">
        <v>42</v>
      </c>
      <c r="E464" s="81" t="s">
        <v>978</v>
      </c>
      <c r="F464" s="71" t="s">
        <v>979</v>
      </c>
      <c r="G464" s="71" t="s">
        <v>204</v>
      </c>
      <c r="H464" s="71">
        <v>0.1</v>
      </c>
      <c r="I464" s="71"/>
      <c r="J464" s="71"/>
      <c r="K464" s="2">
        <v>122412855</v>
      </c>
      <c r="L464" s="69">
        <v>19801473</v>
      </c>
      <c r="M464" s="69">
        <f t="shared" ref="M464:M466" si="2">+K464+L464</f>
        <v>142214328</v>
      </c>
      <c r="N464" s="79" t="s">
        <v>142</v>
      </c>
      <c r="O464" s="71" t="s">
        <v>51</v>
      </c>
      <c r="P464" s="66">
        <v>2025</v>
      </c>
      <c r="Q464" s="66" t="s">
        <v>30</v>
      </c>
      <c r="R464" s="66"/>
      <c r="S464" s="66"/>
      <c r="T464" s="80">
        <v>0.95</v>
      </c>
      <c r="U464" s="71"/>
    </row>
    <row r="465" spans="1:21" ht="43.15" customHeight="1">
      <c r="A465" s="66"/>
      <c r="B465" s="71" t="s">
        <v>974</v>
      </c>
      <c r="C465" s="66" t="s">
        <v>181</v>
      </c>
      <c r="D465" s="66" t="s">
        <v>174</v>
      </c>
      <c r="E465" s="81">
        <v>2025003050039</v>
      </c>
      <c r="F465" s="71" t="s">
        <v>980</v>
      </c>
      <c r="G465" s="71" t="s">
        <v>981</v>
      </c>
      <c r="H465" s="71" t="s">
        <v>981</v>
      </c>
      <c r="I465" s="71"/>
      <c r="J465" s="71"/>
      <c r="K465" s="2">
        <v>9381110055</v>
      </c>
      <c r="L465" s="69">
        <v>0</v>
      </c>
      <c r="M465" s="69">
        <f>+K465</f>
        <v>9381110055</v>
      </c>
      <c r="N465" s="79" t="s">
        <v>37</v>
      </c>
      <c r="O465" s="71" t="s">
        <v>45</v>
      </c>
      <c r="P465" s="66">
        <v>2026</v>
      </c>
      <c r="Q465" s="66" t="s">
        <v>99</v>
      </c>
      <c r="R465" s="66"/>
      <c r="S465" s="66"/>
      <c r="T465" s="80"/>
      <c r="U465" s="71"/>
    </row>
    <row r="466" spans="1:21" ht="43.15" customHeight="1">
      <c r="A466" s="66"/>
      <c r="B466" s="71" t="s">
        <v>974</v>
      </c>
      <c r="C466" s="66" t="s">
        <v>181</v>
      </c>
      <c r="D466" s="66" t="s">
        <v>42</v>
      </c>
      <c r="E466" s="81" t="s">
        <v>982</v>
      </c>
      <c r="F466" s="71" t="s">
        <v>983</v>
      </c>
      <c r="G466" s="71" t="s">
        <v>204</v>
      </c>
      <c r="H466" s="71">
        <v>0.1</v>
      </c>
      <c r="I466" s="71"/>
      <c r="J466" s="71"/>
      <c r="K466" s="2">
        <v>122381125</v>
      </c>
      <c r="L466" s="69">
        <v>17713338</v>
      </c>
      <c r="M466" s="69">
        <f t="shared" si="2"/>
        <v>140094463</v>
      </c>
      <c r="N466" s="79" t="s">
        <v>28</v>
      </c>
      <c r="O466" s="71" t="s">
        <v>51</v>
      </c>
      <c r="P466" s="66">
        <v>2025</v>
      </c>
      <c r="Q466" s="66" t="s">
        <v>30</v>
      </c>
      <c r="R466" s="66"/>
      <c r="S466" s="66"/>
      <c r="T466" s="80">
        <v>0.9</v>
      </c>
      <c r="U466" s="71"/>
    </row>
    <row r="467" spans="1:21" ht="33.6" customHeight="1">
      <c r="A467" s="66">
        <v>114</v>
      </c>
      <c r="B467" s="71" t="s">
        <v>974</v>
      </c>
      <c r="C467" s="66" t="s">
        <v>181</v>
      </c>
      <c r="D467" s="66" t="s">
        <v>23</v>
      </c>
      <c r="E467" s="81"/>
      <c r="F467" s="71" t="s">
        <v>101</v>
      </c>
      <c r="G467" s="71" t="s">
        <v>833</v>
      </c>
      <c r="H467" s="71" t="s">
        <v>834</v>
      </c>
      <c r="I467" s="71"/>
      <c r="J467" s="71"/>
      <c r="K467" s="79">
        <f>1530782644*22</f>
        <v>33677218168</v>
      </c>
      <c r="L467" s="79">
        <v>0</v>
      </c>
      <c r="M467" s="69">
        <f>+K467</f>
        <v>33677218168</v>
      </c>
      <c r="N467" s="71" t="s">
        <v>28</v>
      </c>
      <c r="O467" s="71" t="s">
        <v>96</v>
      </c>
      <c r="P467" s="66">
        <v>2025</v>
      </c>
      <c r="Q467" s="66" t="s">
        <v>30</v>
      </c>
      <c r="R467" s="85"/>
      <c r="S467" s="87"/>
      <c r="T467" s="80"/>
      <c r="U467" s="66" t="s">
        <v>154</v>
      </c>
    </row>
    <row r="468" spans="1:21" ht="33.6" hidden="1" customHeight="1">
      <c r="A468" s="104"/>
      <c r="B468" s="71" t="s">
        <v>984</v>
      </c>
      <c r="C468" s="66" t="s">
        <v>41</v>
      </c>
      <c r="D468" s="66" t="s">
        <v>23</v>
      </c>
      <c r="E468" s="81"/>
      <c r="F468" s="71" t="s">
        <v>717</v>
      </c>
      <c r="G468" s="66" t="s">
        <v>718</v>
      </c>
      <c r="H468" s="66">
        <v>9.3230000000000004</v>
      </c>
      <c r="I468" s="66"/>
      <c r="J468" s="66"/>
      <c r="K468" s="2">
        <v>69903825730</v>
      </c>
      <c r="L468" s="69">
        <v>0</v>
      </c>
      <c r="M468" s="69">
        <v>69903825730</v>
      </c>
      <c r="N468" s="71" t="s">
        <v>220</v>
      </c>
      <c r="O468" s="71" t="s">
        <v>96</v>
      </c>
      <c r="P468" s="66">
        <v>2023</v>
      </c>
      <c r="Q468" s="66"/>
      <c r="R468" s="66"/>
      <c r="S468" s="66"/>
      <c r="T468" s="70">
        <v>1</v>
      </c>
      <c r="U468" s="71" t="s">
        <v>69</v>
      </c>
    </row>
    <row r="469" spans="1:21" ht="33.6" customHeight="1">
      <c r="A469" s="104"/>
      <c r="B469" s="71" t="s">
        <v>325</v>
      </c>
      <c r="C469" s="66" t="s">
        <v>41</v>
      </c>
      <c r="D469" s="66" t="s">
        <v>42</v>
      </c>
      <c r="E469" s="81" t="s">
        <v>985</v>
      </c>
      <c r="F469" s="71" t="s">
        <v>986</v>
      </c>
      <c r="G469" s="66" t="s">
        <v>204</v>
      </c>
      <c r="H469" s="66">
        <v>0.1</v>
      </c>
      <c r="I469" s="66"/>
      <c r="J469" s="66"/>
      <c r="K469" s="2">
        <v>122499990</v>
      </c>
      <c r="L469" s="69">
        <v>14248991</v>
      </c>
      <c r="M469" s="69">
        <f>+K469+L469</f>
        <v>136748981</v>
      </c>
      <c r="N469" s="71" t="s">
        <v>142</v>
      </c>
      <c r="O469" s="71" t="s">
        <v>51</v>
      </c>
      <c r="P469" s="66">
        <v>2025</v>
      </c>
      <c r="Q469" s="66" t="s">
        <v>987</v>
      </c>
      <c r="R469" s="66"/>
      <c r="S469" s="66"/>
      <c r="T469" s="70">
        <v>0.25</v>
      </c>
      <c r="U469" s="71"/>
    </row>
    <row r="470" spans="1:21" ht="33.6" customHeight="1">
      <c r="A470" s="104"/>
      <c r="B470" s="71" t="s">
        <v>325</v>
      </c>
      <c r="C470" s="66" t="s">
        <v>41</v>
      </c>
      <c r="D470" s="66" t="s">
        <v>42</v>
      </c>
      <c r="E470" s="81" t="s">
        <v>988</v>
      </c>
      <c r="F470" s="71" t="s">
        <v>989</v>
      </c>
      <c r="G470" s="66" t="s">
        <v>204</v>
      </c>
      <c r="H470" s="66">
        <v>0.1</v>
      </c>
      <c r="I470" s="66"/>
      <c r="J470" s="66"/>
      <c r="K470" s="9">
        <v>122499990</v>
      </c>
      <c r="L470" s="43">
        <v>14248991</v>
      </c>
      <c r="M470" s="43">
        <f>+K470+L470</f>
        <v>136748981</v>
      </c>
      <c r="N470" s="71" t="s">
        <v>142</v>
      </c>
      <c r="O470" s="71" t="s">
        <v>51</v>
      </c>
      <c r="P470" s="66">
        <v>2025</v>
      </c>
      <c r="Q470" s="66" t="s">
        <v>30</v>
      </c>
      <c r="R470" s="66"/>
      <c r="S470" s="66"/>
      <c r="T470" s="70">
        <v>0.2</v>
      </c>
      <c r="U470" s="71"/>
    </row>
    <row r="471" spans="1:21" ht="33.6" customHeight="1">
      <c r="A471" s="104"/>
      <c r="B471" s="71" t="s">
        <v>325</v>
      </c>
      <c r="C471" s="66" t="s">
        <v>41</v>
      </c>
      <c r="D471" s="66" t="s">
        <v>42</v>
      </c>
      <c r="E471" s="81" t="s">
        <v>990</v>
      </c>
      <c r="F471" s="71" t="s">
        <v>991</v>
      </c>
      <c r="G471" s="66" t="s">
        <v>204</v>
      </c>
      <c r="H471" s="66">
        <v>0.1</v>
      </c>
      <c r="I471" s="66"/>
      <c r="J471" s="66"/>
      <c r="K471" s="9">
        <v>122273255</v>
      </c>
      <c r="L471" s="43">
        <v>14247562</v>
      </c>
      <c r="M471" s="43">
        <f>+K471+L471</f>
        <v>136520817</v>
      </c>
      <c r="N471" s="71" t="s">
        <v>142</v>
      </c>
      <c r="O471" s="71" t="s">
        <v>51</v>
      </c>
      <c r="P471" s="66">
        <v>2025</v>
      </c>
      <c r="Q471" s="66" t="s">
        <v>38</v>
      </c>
      <c r="R471" s="66"/>
      <c r="S471" s="66"/>
      <c r="T471" s="70">
        <v>1</v>
      </c>
      <c r="U471" s="71"/>
    </row>
    <row r="472" spans="1:21" ht="33.6" customHeight="1">
      <c r="A472" s="104"/>
      <c r="B472" s="71" t="s">
        <v>325</v>
      </c>
      <c r="C472" s="66" t="s">
        <v>41</v>
      </c>
      <c r="D472" s="66" t="s">
        <v>42</v>
      </c>
      <c r="E472" s="81" t="s">
        <v>992</v>
      </c>
      <c r="F472" s="71" t="s">
        <v>265</v>
      </c>
      <c r="G472" s="66" t="s">
        <v>399</v>
      </c>
      <c r="H472" s="66">
        <v>0.5</v>
      </c>
      <c r="I472" s="66"/>
      <c r="J472" s="66"/>
      <c r="K472" s="2">
        <v>175000000</v>
      </c>
      <c r="L472" s="69">
        <v>201387052</v>
      </c>
      <c r="M472" s="69">
        <f>+K472+L472</f>
        <v>376387052</v>
      </c>
      <c r="N472" s="71" t="s">
        <v>73</v>
      </c>
      <c r="O472" s="71" t="s">
        <v>51</v>
      </c>
      <c r="P472" s="66">
        <v>2025</v>
      </c>
      <c r="Q472" s="66" t="s">
        <v>38</v>
      </c>
      <c r="R472" s="66"/>
      <c r="S472" s="66"/>
      <c r="T472" s="70">
        <v>1</v>
      </c>
      <c r="U472" s="71" t="s">
        <v>74</v>
      </c>
    </row>
    <row r="473" spans="1:21" ht="33.6" customHeight="1">
      <c r="A473" s="104"/>
      <c r="B473" s="71" t="s">
        <v>325</v>
      </c>
      <c r="C473" s="66" t="s">
        <v>41</v>
      </c>
      <c r="D473" s="66"/>
      <c r="E473" s="81"/>
      <c r="F473" s="71" t="s">
        <v>993</v>
      </c>
      <c r="G473" s="66" t="s">
        <v>994</v>
      </c>
      <c r="H473" s="66">
        <v>9.39</v>
      </c>
      <c r="I473" s="66"/>
      <c r="J473" s="66"/>
      <c r="K473" s="2">
        <v>1308000000</v>
      </c>
      <c r="L473" s="2">
        <v>0</v>
      </c>
      <c r="M473" s="69">
        <f>+K473</f>
        <v>1308000000</v>
      </c>
      <c r="N473" s="71" t="s">
        <v>37</v>
      </c>
      <c r="O473" s="71" t="s">
        <v>114</v>
      </c>
      <c r="P473" s="66">
        <v>2024</v>
      </c>
      <c r="Q473" s="66" t="s">
        <v>52</v>
      </c>
      <c r="R473" s="66"/>
      <c r="S473" s="66"/>
      <c r="T473" s="70">
        <v>1</v>
      </c>
      <c r="U473" s="71" t="s">
        <v>69</v>
      </c>
    </row>
    <row r="474" spans="1:21" ht="39" customHeight="1">
      <c r="A474" s="100"/>
      <c r="B474" s="71" t="s">
        <v>984</v>
      </c>
      <c r="C474" s="66" t="s">
        <v>41</v>
      </c>
      <c r="D474" s="66" t="s">
        <v>23</v>
      </c>
      <c r="E474" s="81"/>
      <c r="F474" s="71" t="s">
        <v>995</v>
      </c>
      <c r="G474" s="66" t="s">
        <v>307</v>
      </c>
      <c r="H474" s="66">
        <v>12</v>
      </c>
      <c r="I474" s="66"/>
      <c r="J474" s="66"/>
      <c r="K474" s="69">
        <v>30837267492</v>
      </c>
      <c r="L474" s="69">
        <v>0</v>
      </c>
      <c r="M474" s="69">
        <f>+K474</f>
        <v>30837267492</v>
      </c>
      <c r="N474" s="71" t="s">
        <v>28</v>
      </c>
      <c r="O474" s="71" t="s">
        <v>45</v>
      </c>
      <c r="P474" s="66">
        <v>2025</v>
      </c>
      <c r="Q474" s="66"/>
      <c r="R474" s="66"/>
      <c r="S474" s="66"/>
      <c r="T474" s="66"/>
      <c r="U474" s="71" t="s">
        <v>99</v>
      </c>
    </row>
    <row r="475" spans="1:21" ht="39" hidden="1" customHeight="1">
      <c r="A475" s="93">
        <v>116</v>
      </c>
      <c r="B475" s="71" t="s">
        <v>996</v>
      </c>
      <c r="C475" s="66" t="s">
        <v>83</v>
      </c>
      <c r="D475" s="66" t="s">
        <v>174</v>
      </c>
      <c r="E475" s="96">
        <v>2025003050036</v>
      </c>
      <c r="F475" s="71" t="s">
        <v>175</v>
      </c>
      <c r="G475" s="71" t="s">
        <v>997</v>
      </c>
      <c r="H475" s="71" t="s">
        <v>997</v>
      </c>
      <c r="I475" s="71"/>
      <c r="J475" s="71"/>
      <c r="K475" s="98">
        <f>+M475</f>
        <v>14202451801</v>
      </c>
      <c r="L475" s="98">
        <v>0</v>
      </c>
      <c r="M475" s="97">
        <v>14202451801</v>
      </c>
      <c r="N475" s="71" t="s">
        <v>37</v>
      </c>
      <c r="O475" s="71" t="s">
        <v>29</v>
      </c>
      <c r="P475" s="66">
        <v>2026</v>
      </c>
      <c r="Q475" s="66" t="s">
        <v>567</v>
      </c>
      <c r="R475" s="66"/>
      <c r="S475" s="66"/>
      <c r="T475" s="71"/>
      <c r="U475" s="94" t="s">
        <v>370</v>
      </c>
    </row>
    <row r="476" spans="1:21" ht="39" hidden="1" customHeight="1">
      <c r="A476" s="93"/>
      <c r="B476" s="71" t="s">
        <v>996</v>
      </c>
      <c r="C476" s="66" t="s">
        <v>83</v>
      </c>
      <c r="D476" s="66" t="s">
        <v>174</v>
      </c>
      <c r="E476" s="96"/>
      <c r="F476" s="71" t="s">
        <v>175</v>
      </c>
      <c r="G476" s="71" t="s">
        <v>998</v>
      </c>
      <c r="H476" s="71" t="s">
        <v>998</v>
      </c>
      <c r="I476" s="71"/>
      <c r="J476" s="71"/>
      <c r="K476" s="98"/>
      <c r="L476" s="98"/>
      <c r="M476" s="97"/>
      <c r="N476" s="71" t="s">
        <v>37</v>
      </c>
      <c r="O476" s="71" t="s">
        <v>29</v>
      </c>
      <c r="P476" s="66">
        <v>2026</v>
      </c>
      <c r="Q476" s="66" t="s">
        <v>567</v>
      </c>
      <c r="R476" s="66"/>
      <c r="S476" s="66"/>
      <c r="T476" s="71"/>
      <c r="U476" s="94"/>
    </row>
    <row r="477" spans="1:21" ht="39" customHeight="1">
      <c r="A477" s="93"/>
      <c r="B477" s="71" t="s">
        <v>996</v>
      </c>
      <c r="C477" s="66" t="s">
        <v>83</v>
      </c>
      <c r="D477" s="66" t="s">
        <v>131</v>
      </c>
      <c r="E477" s="81">
        <v>4600017793</v>
      </c>
      <c r="F477" s="71" t="s">
        <v>453</v>
      </c>
      <c r="G477" s="71" t="s">
        <v>255</v>
      </c>
      <c r="H477" s="71"/>
      <c r="I477" s="71" t="s">
        <v>26</v>
      </c>
      <c r="J477" s="71" t="s">
        <v>134</v>
      </c>
      <c r="K477" s="2">
        <v>17166424376</v>
      </c>
      <c r="L477" s="69">
        <v>0</v>
      </c>
      <c r="M477" s="42">
        <f>+K477</f>
        <v>17166424376</v>
      </c>
      <c r="N477" s="71" t="s">
        <v>28</v>
      </c>
      <c r="O477" s="71" t="s">
        <v>78</v>
      </c>
      <c r="P477" s="66">
        <v>2024</v>
      </c>
      <c r="Q477" s="66" t="s">
        <v>30</v>
      </c>
      <c r="R477" s="66"/>
      <c r="S477" s="66"/>
      <c r="T477" s="70">
        <v>0.87</v>
      </c>
      <c r="U477" s="71" t="s">
        <v>136</v>
      </c>
    </row>
    <row r="478" spans="1:21" ht="36" customHeight="1">
      <c r="A478" s="93"/>
      <c r="B478" s="71" t="s">
        <v>996</v>
      </c>
      <c r="C478" s="66" t="s">
        <v>83</v>
      </c>
      <c r="D478" s="66" t="s">
        <v>42</v>
      </c>
      <c r="E478" s="81" t="s">
        <v>146</v>
      </c>
      <c r="F478" s="71" t="s">
        <v>80</v>
      </c>
      <c r="G478" s="66" t="s">
        <v>76</v>
      </c>
      <c r="H478" s="66">
        <v>1</v>
      </c>
      <c r="I478" s="66"/>
      <c r="J478" s="66"/>
      <c r="K478" s="2">
        <v>276024779</v>
      </c>
      <c r="L478" s="2">
        <v>457290107</v>
      </c>
      <c r="M478" s="2">
        <v>958314886</v>
      </c>
      <c r="N478" s="71" t="s">
        <v>147</v>
      </c>
      <c r="O478" s="71" t="s">
        <v>51</v>
      </c>
      <c r="P478" s="66">
        <v>2025</v>
      </c>
      <c r="Q478" s="66" t="s">
        <v>38</v>
      </c>
      <c r="R478" s="66"/>
      <c r="S478" s="66"/>
      <c r="T478" s="40">
        <v>1</v>
      </c>
      <c r="U478" s="71" t="s">
        <v>74</v>
      </c>
    </row>
    <row r="479" spans="1:21" ht="36" customHeight="1">
      <c r="A479" s="66">
        <v>118</v>
      </c>
      <c r="B479" s="71" t="s">
        <v>999</v>
      </c>
      <c r="C479" s="66" t="s">
        <v>83</v>
      </c>
      <c r="D479" s="66" t="s">
        <v>23</v>
      </c>
      <c r="E479" s="81"/>
      <c r="F479" s="71" t="s">
        <v>101</v>
      </c>
      <c r="G479" s="66" t="s">
        <v>1000</v>
      </c>
      <c r="H479" s="66" t="s">
        <v>1001</v>
      </c>
      <c r="I479" s="66"/>
      <c r="J479" s="66"/>
      <c r="K479" s="69">
        <f>1341963493*22.51</f>
        <v>30207598227.43</v>
      </c>
      <c r="L479" s="69">
        <v>0</v>
      </c>
      <c r="M479" s="69">
        <f>+K479</f>
        <v>30207598227.43</v>
      </c>
      <c r="N479" s="71" t="s">
        <v>28</v>
      </c>
      <c r="O479" s="71" t="s">
        <v>96</v>
      </c>
      <c r="P479" s="66">
        <v>2025</v>
      </c>
      <c r="Q479" s="66" t="s">
        <v>30</v>
      </c>
      <c r="R479" s="85"/>
      <c r="S479" s="87"/>
      <c r="T479" s="80"/>
      <c r="U479" s="71" t="s">
        <v>708</v>
      </c>
    </row>
    <row r="480" spans="1:21" ht="36" hidden="1" customHeight="1">
      <c r="A480" s="66"/>
      <c r="B480" s="71" t="s">
        <v>1002</v>
      </c>
      <c r="C480" s="66" t="s">
        <v>90</v>
      </c>
      <c r="D480" s="66" t="s">
        <v>42</v>
      </c>
      <c r="E480" s="81">
        <v>2023000040003</v>
      </c>
      <c r="F480" s="71" t="s">
        <v>91</v>
      </c>
      <c r="G480" s="66" t="s">
        <v>742</v>
      </c>
      <c r="H480" s="66">
        <v>13.21</v>
      </c>
      <c r="I480" s="66"/>
      <c r="J480" s="66"/>
      <c r="K480" s="2">
        <v>22647234828</v>
      </c>
      <c r="L480" s="69">
        <v>0</v>
      </c>
      <c r="M480" s="2">
        <f>+K480</f>
        <v>22647234828</v>
      </c>
      <c r="N480" s="2" t="s">
        <v>37</v>
      </c>
      <c r="O480" s="2"/>
      <c r="P480" s="66">
        <v>2020</v>
      </c>
      <c r="Q480" s="66" t="s">
        <v>30</v>
      </c>
      <c r="R480" s="66"/>
      <c r="S480" s="66"/>
      <c r="T480" s="70">
        <v>0.67749999999999999</v>
      </c>
      <c r="U480" s="71" t="s">
        <v>30</v>
      </c>
    </row>
    <row r="481" spans="1:21" ht="36" hidden="1" customHeight="1">
      <c r="A481" s="66"/>
      <c r="B481" s="71" t="s">
        <v>1003</v>
      </c>
      <c r="C481" s="66" t="s">
        <v>90</v>
      </c>
      <c r="D481" s="66" t="s">
        <v>119</v>
      </c>
      <c r="E481" s="81"/>
      <c r="F481" s="71" t="s">
        <v>1004</v>
      </c>
      <c r="G481" s="66" t="s">
        <v>1005</v>
      </c>
      <c r="H481" s="66"/>
      <c r="I481" s="66"/>
      <c r="J481" s="66"/>
      <c r="K481" s="69">
        <v>3500000000</v>
      </c>
      <c r="L481" s="69">
        <v>858466562</v>
      </c>
      <c r="M481" s="69">
        <f>+K481+L481</f>
        <v>4358466562</v>
      </c>
      <c r="N481" s="71" t="s">
        <v>330</v>
      </c>
      <c r="O481" s="71" t="s">
        <v>51</v>
      </c>
      <c r="P481" s="66">
        <v>2023</v>
      </c>
      <c r="Q481" s="66" t="s">
        <v>52</v>
      </c>
      <c r="R481" s="66"/>
      <c r="S481" s="66"/>
      <c r="T481" s="80">
        <v>1</v>
      </c>
      <c r="U481" s="66" t="s">
        <v>69</v>
      </c>
    </row>
    <row r="482" spans="1:21" ht="15" customHeight="1">
      <c r="A482" s="66">
        <v>119</v>
      </c>
      <c r="B482" s="71" t="s">
        <v>1002</v>
      </c>
      <c r="C482" s="66" t="s">
        <v>90</v>
      </c>
      <c r="D482" s="66" t="s">
        <v>42</v>
      </c>
      <c r="E482" s="81" t="s">
        <v>1006</v>
      </c>
      <c r="F482" s="71" t="s">
        <v>400</v>
      </c>
      <c r="G482" s="66" t="s">
        <v>76</v>
      </c>
      <c r="H482" s="66">
        <v>1</v>
      </c>
      <c r="I482" s="66"/>
      <c r="J482" s="66"/>
      <c r="K482" s="69">
        <v>350000000</v>
      </c>
      <c r="L482" s="69">
        <v>630000000</v>
      </c>
      <c r="M482" s="69">
        <f>+K482+L482</f>
        <v>980000000</v>
      </c>
      <c r="N482" s="71" t="s">
        <v>73</v>
      </c>
      <c r="O482" s="71" t="s">
        <v>51</v>
      </c>
      <c r="P482" s="66">
        <v>2024</v>
      </c>
      <c r="Q482" s="66" t="s">
        <v>52</v>
      </c>
      <c r="R482" s="66"/>
      <c r="S482" s="66"/>
      <c r="T482" s="70">
        <v>1</v>
      </c>
      <c r="U482" s="66" t="s">
        <v>1007</v>
      </c>
    </row>
    <row r="483" spans="1:21" ht="35.450000000000003" customHeight="1">
      <c r="A483" s="66"/>
      <c r="B483" s="71" t="s">
        <v>1008</v>
      </c>
      <c r="C483" s="66" t="s">
        <v>83</v>
      </c>
      <c r="D483" s="66" t="s">
        <v>174</v>
      </c>
      <c r="E483" s="81">
        <v>2026003050012</v>
      </c>
      <c r="F483" s="71" t="s">
        <v>896</v>
      </c>
      <c r="G483" s="71" t="s">
        <v>1009</v>
      </c>
      <c r="H483" s="71" t="s">
        <v>1010</v>
      </c>
      <c r="I483" s="71"/>
      <c r="J483" s="71"/>
      <c r="K483" s="82">
        <v>4263692901</v>
      </c>
      <c r="L483" s="69">
        <v>0</v>
      </c>
      <c r="M483" s="69">
        <f>+K483</f>
        <v>4263692901</v>
      </c>
      <c r="N483" s="71" t="s">
        <v>37</v>
      </c>
      <c r="O483" s="71" t="s">
        <v>29</v>
      </c>
      <c r="P483" s="66">
        <v>2026</v>
      </c>
      <c r="Q483" s="66" t="s">
        <v>129</v>
      </c>
      <c r="R483" s="66"/>
      <c r="S483" s="66"/>
      <c r="T483" s="70"/>
      <c r="U483" s="71" t="s">
        <v>593</v>
      </c>
    </row>
    <row r="484" spans="1:21" ht="38.450000000000003" customHeight="1">
      <c r="A484" s="66"/>
      <c r="B484" s="71" t="s">
        <v>1008</v>
      </c>
      <c r="C484" s="66" t="s">
        <v>83</v>
      </c>
      <c r="D484" s="66" t="s">
        <v>174</v>
      </c>
      <c r="E484" s="81"/>
      <c r="F484" s="71" t="s">
        <v>647</v>
      </c>
      <c r="G484" s="71" t="s">
        <v>1011</v>
      </c>
      <c r="H484" s="71" t="s">
        <v>1011</v>
      </c>
      <c r="I484" s="71"/>
      <c r="J484" s="71"/>
      <c r="K484" s="69">
        <v>3215853658</v>
      </c>
      <c r="L484" s="69">
        <v>0</v>
      </c>
      <c r="M484" s="69">
        <f>+K484</f>
        <v>3215853658</v>
      </c>
      <c r="N484" s="71" t="s">
        <v>37</v>
      </c>
      <c r="O484" s="71" t="s">
        <v>29</v>
      </c>
      <c r="P484" s="66">
        <v>2026</v>
      </c>
      <c r="Q484" s="66" t="s">
        <v>129</v>
      </c>
      <c r="R484" s="66"/>
      <c r="S484" s="66"/>
      <c r="T484" s="70"/>
      <c r="U484" s="71" t="s">
        <v>590</v>
      </c>
    </row>
    <row r="485" spans="1:21" ht="36.6" customHeight="1">
      <c r="A485" s="66">
        <v>120</v>
      </c>
      <c r="B485" s="71" t="s">
        <v>1008</v>
      </c>
      <c r="C485" s="66" t="s">
        <v>83</v>
      </c>
      <c r="D485" s="66" t="s">
        <v>42</v>
      </c>
      <c r="E485" s="81" t="s">
        <v>146</v>
      </c>
      <c r="F485" s="71" t="s">
        <v>80</v>
      </c>
      <c r="G485" s="66" t="s">
        <v>76</v>
      </c>
      <c r="H485" s="66">
        <v>1</v>
      </c>
      <c r="I485" s="66"/>
      <c r="J485" s="66"/>
      <c r="K485" s="69">
        <v>270962776</v>
      </c>
      <c r="L485" s="69">
        <v>415357343</v>
      </c>
      <c r="M485" s="2">
        <v>871320120</v>
      </c>
      <c r="N485" s="71" t="s">
        <v>147</v>
      </c>
      <c r="O485" s="71" t="s">
        <v>51</v>
      </c>
      <c r="P485" s="66">
        <v>2025</v>
      </c>
      <c r="Q485" s="66" t="s">
        <v>115</v>
      </c>
      <c r="R485" s="66"/>
      <c r="S485" s="66"/>
      <c r="T485" s="70">
        <v>1</v>
      </c>
      <c r="U485" s="66"/>
    </row>
    <row r="486" spans="1:21" ht="35.25" customHeight="1">
      <c r="A486" s="93">
        <v>121</v>
      </c>
      <c r="B486" s="71" t="s">
        <v>1012</v>
      </c>
      <c r="C486" s="66" t="s">
        <v>181</v>
      </c>
      <c r="D486" s="66" t="s">
        <v>42</v>
      </c>
      <c r="E486" s="81" t="s">
        <v>1013</v>
      </c>
      <c r="F486" s="71" t="s">
        <v>1014</v>
      </c>
      <c r="G486" s="66" t="s">
        <v>1015</v>
      </c>
      <c r="H486" s="66">
        <v>0.14000000000000001</v>
      </c>
      <c r="I486" s="66"/>
      <c r="J486" s="66"/>
      <c r="K486" s="2">
        <v>100000000</v>
      </c>
      <c r="L486" s="69">
        <v>300000000</v>
      </c>
      <c r="M486" s="69">
        <f t="shared" ref="M486:M495" si="3">+K486+L486</f>
        <v>400000000</v>
      </c>
      <c r="N486" s="71" t="s">
        <v>73</v>
      </c>
      <c r="O486" s="71" t="s">
        <v>51</v>
      </c>
      <c r="P486" s="66">
        <v>2024</v>
      </c>
      <c r="Q486" s="66" t="s">
        <v>69</v>
      </c>
      <c r="R486" s="66"/>
      <c r="S486" s="66"/>
      <c r="T486" s="80">
        <v>1</v>
      </c>
      <c r="U486" s="71"/>
    </row>
    <row r="487" spans="1:21" ht="36" hidden="1" customHeight="1">
      <c r="A487" s="93"/>
      <c r="B487" s="71" t="s">
        <v>1012</v>
      </c>
      <c r="C487" s="66" t="s">
        <v>181</v>
      </c>
      <c r="D487" s="66" t="s">
        <v>1016</v>
      </c>
      <c r="E487" s="81"/>
      <c r="F487" s="71" t="s">
        <v>1017</v>
      </c>
      <c r="G487" s="66" t="s">
        <v>1018</v>
      </c>
      <c r="H487" s="66" t="s">
        <v>1018</v>
      </c>
      <c r="I487" s="66"/>
      <c r="J487" s="66"/>
      <c r="K487" s="2">
        <v>2719651693</v>
      </c>
      <c r="L487" s="69">
        <v>1000000000</v>
      </c>
      <c r="M487" s="69">
        <f t="shared" si="3"/>
        <v>3719651693</v>
      </c>
      <c r="N487" s="71" t="s">
        <v>28</v>
      </c>
      <c r="O487" s="71" t="s">
        <v>51</v>
      </c>
      <c r="P487" s="66">
        <v>2023</v>
      </c>
      <c r="Q487" s="66"/>
      <c r="R487" s="66"/>
      <c r="S487" s="66"/>
      <c r="T487" s="80">
        <v>0.85</v>
      </c>
      <c r="U487" s="71" t="s">
        <v>343</v>
      </c>
    </row>
    <row r="488" spans="1:21" ht="96.6">
      <c r="A488" s="93"/>
      <c r="B488" s="71" t="s">
        <v>1012</v>
      </c>
      <c r="C488" s="66" t="s">
        <v>181</v>
      </c>
      <c r="D488" s="66" t="s">
        <v>66</v>
      </c>
      <c r="E488" s="81"/>
      <c r="F488" s="71" t="s">
        <v>1014</v>
      </c>
      <c r="G488" s="66" t="s">
        <v>76</v>
      </c>
      <c r="H488" s="66">
        <v>1</v>
      </c>
      <c r="I488" s="66"/>
      <c r="J488" s="66"/>
      <c r="K488" s="2">
        <v>3092780560</v>
      </c>
      <c r="L488" s="69">
        <v>40000000</v>
      </c>
      <c r="M488" s="69">
        <f t="shared" si="3"/>
        <v>3132780560</v>
      </c>
      <c r="N488" s="71" t="s">
        <v>28</v>
      </c>
      <c r="O488" s="71" t="s">
        <v>51</v>
      </c>
      <c r="P488" s="66">
        <v>2024</v>
      </c>
      <c r="Q488" s="66" t="s">
        <v>987</v>
      </c>
      <c r="R488" s="66"/>
      <c r="S488" s="66"/>
      <c r="T488" s="80">
        <v>0.6</v>
      </c>
      <c r="U488" s="71" t="s">
        <v>1019</v>
      </c>
    </row>
    <row r="489" spans="1:21" ht="36" hidden="1" customHeight="1">
      <c r="A489" s="68"/>
      <c r="B489" s="71" t="s">
        <v>1020</v>
      </c>
      <c r="C489" s="66" t="s">
        <v>90</v>
      </c>
      <c r="D489" s="66" t="s">
        <v>42</v>
      </c>
      <c r="E489" s="81">
        <v>2023000040003</v>
      </c>
      <c r="F489" s="71" t="s">
        <v>91</v>
      </c>
      <c r="G489" s="66" t="s">
        <v>742</v>
      </c>
      <c r="H489" s="66">
        <v>13.21</v>
      </c>
      <c r="I489" s="66"/>
      <c r="J489" s="66"/>
      <c r="K489" s="2">
        <v>22647234828</v>
      </c>
      <c r="L489" s="69">
        <v>0</v>
      </c>
      <c r="M489" s="2">
        <f>+K489</f>
        <v>22647234828</v>
      </c>
      <c r="N489" s="2" t="s">
        <v>37</v>
      </c>
      <c r="O489" s="2"/>
      <c r="P489" s="66">
        <v>2020</v>
      </c>
      <c r="Q489" s="66" t="s">
        <v>52</v>
      </c>
      <c r="R489" s="66"/>
      <c r="S489" s="66"/>
      <c r="T489" s="70">
        <v>0.67749999999999999</v>
      </c>
      <c r="U489" s="71" t="s">
        <v>30</v>
      </c>
    </row>
    <row r="490" spans="1:21" ht="13.9">
      <c r="A490" s="68">
        <v>122</v>
      </c>
      <c r="B490" s="71" t="s">
        <v>1020</v>
      </c>
      <c r="C490" s="66" t="s">
        <v>90</v>
      </c>
      <c r="D490" s="66" t="s">
        <v>42</v>
      </c>
      <c r="E490" s="81" t="s">
        <v>1021</v>
      </c>
      <c r="F490" s="71" t="s">
        <v>80</v>
      </c>
      <c r="G490" s="66" t="s">
        <v>76</v>
      </c>
      <c r="H490" s="66">
        <v>1</v>
      </c>
      <c r="I490" s="66"/>
      <c r="J490" s="66"/>
      <c r="K490" s="69">
        <v>350000000</v>
      </c>
      <c r="L490" s="69">
        <v>271509130.16000003</v>
      </c>
      <c r="M490" s="69">
        <f t="shared" si="3"/>
        <v>621509130.16000009</v>
      </c>
      <c r="N490" s="71" t="s">
        <v>73</v>
      </c>
      <c r="O490" s="71" t="s">
        <v>51</v>
      </c>
      <c r="P490" s="66">
        <v>2025</v>
      </c>
      <c r="Q490" s="66" t="s">
        <v>30</v>
      </c>
      <c r="R490" s="66"/>
      <c r="S490" s="66"/>
      <c r="T490" s="80">
        <v>0.8</v>
      </c>
      <c r="U490" s="71"/>
    </row>
    <row r="491" spans="1:21" ht="13.9">
      <c r="A491" s="104"/>
      <c r="B491" s="71" t="s">
        <v>1022</v>
      </c>
      <c r="C491" s="66" t="s">
        <v>90</v>
      </c>
      <c r="D491" s="66" t="s">
        <v>42</v>
      </c>
      <c r="E491" s="81" t="s">
        <v>1023</v>
      </c>
      <c r="F491" s="71" t="s">
        <v>75</v>
      </c>
      <c r="G491" s="66" t="s">
        <v>399</v>
      </c>
      <c r="H491" s="66">
        <v>0.5</v>
      </c>
      <c r="I491" s="66"/>
      <c r="J491" s="66"/>
      <c r="K491" s="69">
        <v>175000000</v>
      </c>
      <c r="L491" s="69">
        <v>247359336</v>
      </c>
      <c r="M491" s="69">
        <f t="shared" si="3"/>
        <v>422359336</v>
      </c>
      <c r="N491" s="71" t="s">
        <v>73</v>
      </c>
      <c r="O491" s="71" t="s">
        <v>51</v>
      </c>
      <c r="P491" s="66">
        <v>2025</v>
      </c>
      <c r="Q491" s="66" t="s">
        <v>30</v>
      </c>
      <c r="R491" s="66"/>
      <c r="S491" s="66"/>
      <c r="T491" s="80">
        <v>0.95</v>
      </c>
      <c r="U491" s="71"/>
    </row>
    <row r="492" spans="1:21" ht="13.9">
      <c r="A492" s="104"/>
      <c r="B492" s="71" t="s">
        <v>1022</v>
      </c>
      <c r="C492" s="66" t="s">
        <v>90</v>
      </c>
      <c r="D492" s="66" t="s">
        <v>42</v>
      </c>
      <c r="E492" s="81" t="s">
        <v>1024</v>
      </c>
      <c r="F492" s="71" t="s">
        <v>1025</v>
      </c>
      <c r="G492" s="66" t="s">
        <v>399</v>
      </c>
      <c r="H492" s="66">
        <v>0.5</v>
      </c>
      <c r="I492" s="66"/>
      <c r="J492" s="66"/>
      <c r="K492" s="69">
        <v>595495644</v>
      </c>
      <c r="L492" s="69">
        <v>31297041</v>
      </c>
      <c r="M492" s="69">
        <f>+K492+L492</f>
        <v>626792685</v>
      </c>
      <c r="N492" s="71" t="s">
        <v>28</v>
      </c>
      <c r="O492" s="71" t="s">
        <v>51</v>
      </c>
      <c r="P492" s="66">
        <v>2025</v>
      </c>
      <c r="Q492" s="66" t="s">
        <v>385</v>
      </c>
      <c r="R492" s="66"/>
      <c r="S492" s="66"/>
      <c r="T492" s="80">
        <v>0.4</v>
      </c>
      <c r="U492" s="71"/>
    </row>
    <row r="493" spans="1:21" ht="55.15">
      <c r="A493" s="104"/>
      <c r="B493" s="71" t="s">
        <v>1022</v>
      </c>
      <c r="C493" s="66" t="s">
        <v>90</v>
      </c>
      <c r="D493" s="66" t="s">
        <v>174</v>
      </c>
      <c r="E493" s="81">
        <v>2026003050013</v>
      </c>
      <c r="F493" s="66" t="s">
        <v>896</v>
      </c>
      <c r="G493" s="71" t="s">
        <v>1026</v>
      </c>
      <c r="H493" s="71"/>
      <c r="I493" s="71"/>
      <c r="J493" s="71"/>
      <c r="K493" s="69">
        <v>13000000000</v>
      </c>
      <c r="L493" s="69">
        <v>0</v>
      </c>
      <c r="M493" s="69">
        <v>13000000000</v>
      </c>
      <c r="N493" s="71" t="s">
        <v>37</v>
      </c>
      <c r="O493" s="71" t="s">
        <v>45</v>
      </c>
      <c r="P493" s="66">
        <v>2026</v>
      </c>
      <c r="Q493" s="66" t="s">
        <v>129</v>
      </c>
      <c r="R493" s="66"/>
      <c r="S493" s="66"/>
      <c r="T493" s="80"/>
      <c r="U493" s="71" t="s">
        <v>898</v>
      </c>
    </row>
    <row r="494" spans="1:21" ht="15" customHeight="1">
      <c r="A494" s="100"/>
      <c r="B494" s="71" t="s">
        <v>1022</v>
      </c>
      <c r="C494" s="66" t="s">
        <v>90</v>
      </c>
      <c r="D494" s="66" t="s">
        <v>42</v>
      </c>
      <c r="E494" s="81" t="s">
        <v>1027</v>
      </c>
      <c r="F494" s="71" t="s">
        <v>80</v>
      </c>
      <c r="G494" s="66" t="s">
        <v>1028</v>
      </c>
      <c r="H494" s="66">
        <v>2</v>
      </c>
      <c r="I494" s="66"/>
      <c r="J494" s="66"/>
      <c r="K494" s="69">
        <v>700000000</v>
      </c>
      <c r="L494" s="69">
        <v>479336872</v>
      </c>
      <c r="M494" s="69">
        <f t="shared" si="3"/>
        <v>1179336872</v>
      </c>
      <c r="N494" s="71" t="s">
        <v>73</v>
      </c>
      <c r="O494" s="71" t="s">
        <v>51</v>
      </c>
      <c r="P494" s="66">
        <v>2024</v>
      </c>
      <c r="Q494" s="66" t="s">
        <v>30</v>
      </c>
      <c r="R494" s="66"/>
      <c r="S494" s="66"/>
      <c r="T494" s="80">
        <v>0.7</v>
      </c>
      <c r="U494" s="71"/>
    </row>
    <row r="495" spans="1:21" ht="15" customHeight="1">
      <c r="A495" s="93">
        <v>124</v>
      </c>
      <c r="B495" s="71" t="s">
        <v>1029</v>
      </c>
      <c r="C495" s="66" t="s">
        <v>149</v>
      </c>
      <c r="D495" s="66" t="s">
        <v>42</v>
      </c>
      <c r="E495" s="81" t="s">
        <v>1030</v>
      </c>
      <c r="F495" s="71" t="s">
        <v>80</v>
      </c>
      <c r="G495" s="66" t="s">
        <v>111</v>
      </c>
      <c r="H495" s="66">
        <v>1</v>
      </c>
      <c r="I495" s="66"/>
      <c r="J495" s="66"/>
      <c r="K495" s="2">
        <v>322264852</v>
      </c>
      <c r="L495" s="69">
        <v>441008851</v>
      </c>
      <c r="M495" s="69">
        <f t="shared" si="3"/>
        <v>763273703</v>
      </c>
      <c r="N495" s="79" t="s">
        <v>73</v>
      </c>
      <c r="O495" s="71" t="s">
        <v>51</v>
      </c>
      <c r="P495" s="66">
        <v>2025</v>
      </c>
      <c r="Q495" s="66" t="s">
        <v>38</v>
      </c>
      <c r="R495" s="66"/>
      <c r="S495" s="66"/>
      <c r="T495" s="80">
        <v>1</v>
      </c>
      <c r="U495" s="71" t="s">
        <v>74</v>
      </c>
    </row>
    <row r="496" spans="1:21" ht="27.6">
      <c r="A496" s="93"/>
      <c r="B496" s="71" t="s">
        <v>1029</v>
      </c>
      <c r="C496" s="66" t="s">
        <v>149</v>
      </c>
      <c r="D496" s="66" t="s">
        <v>174</v>
      </c>
      <c r="E496" s="81" t="s">
        <v>62</v>
      </c>
      <c r="F496" s="71" t="s">
        <v>1031</v>
      </c>
      <c r="G496" s="71" t="s">
        <v>1032</v>
      </c>
      <c r="H496" s="71" t="s">
        <v>1032</v>
      </c>
      <c r="I496" s="71"/>
      <c r="J496" s="71"/>
      <c r="K496" s="2">
        <v>1987058803</v>
      </c>
      <c r="L496" s="69">
        <v>0</v>
      </c>
      <c r="M496" s="69">
        <f>+K496</f>
        <v>1987058803</v>
      </c>
      <c r="N496" s="79" t="s">
        <v>37</v>
      </c>
      <c r="O496" s="71"/>
      <c r="P496" s="66">
        <v>2025</v>
      </c>
      <c r="Q496" s="66" t="s">
        <v>177</v>
      </c>
      <c r="R496" s="66"/>
      <c r="S496" s="66"/>
      <c r="T496" s="80"/>
      <c r="U496" s="71" t="s">
        <v>248</v>
      </c>
    </row>
    <row r="497" spans="1:21" ht="13.9" hidden="1">
      <c r="A497" s="93"/>
      <c r="B497" s="71" t="s">
        <v>1029</v>
      </c>
      <c r="C497" s="66" t="s">
        <v>149</v>
      </c>
      <c r="D497" s="66" t="s">
        <v>119</v>
      </c>
      <c r="E497" s="81"/>
      <c r="F497" s="71" t="s">
        <v>1033</v>
      </c>
      <c r="G497" s="71" t="s">
        <v>1034</v>
      </c>
      <c r="H497" s="71" t="s">
        <v>1034</v>
      </c>
      <c r="I497" s="71"/>
      <c r="J497" s="71"/>
      <c r="K497" s="2">
        <v>1500000000</v>
      </c>
      <c r="L497" s="69">
        <v>0</v>
      </c>
      <c r="M497" s="69">
        <f>+K497</f>
        <v>1500000000</v>
      </c>
      <c r="N497" s="79" t="s">
        <v>28</v>
      </c>
      <c r="O497" s="71" t="s">
        <v>51</v>
      </c>
      <c r="P497" s="66">
        <v>2022</v>
      </c>
      <c r="Q497" s="66" t="s">
        <v>38</v>
      </c>
      <c r="R497" s="66"/>
      <c r="S497" s="66"/>
      <c r="T497" s="80">
        <v>1</v>
      </c>
      <c r="U497" s="71" t="s">
        <v>81</v>
      </c>
    </row>
    <row r="498" spans="1:21" ht="40.15" customHeight="1">
      <c r="A498" s="93"/>
      <c r="B498" s="71" t="s">
        <v>1035</v>
      </c>
      <c r="C498" s="66" t="s">
        <v>149</v>
      </c>
      <c r="D498" s="66" t="s">
        <v>42</v>
      </c>
      <c r="E498" s="81" t="s">
        <v>146</v>
      </c>
      <c r="F498" s="71" t="s">
        <v>80</v>
      </c>
      <c r="G498" s="66" t="s">
        <v>76</v>
      </c>
      <c r="H498" s="66">
        <v>1</v>
      </c>
      <c r="I498" s="66"/>
      <c r="J498" s="66"/>
      <c r="K498" s="69">
        <v>304574007</v>
      </c>
      <c r="L498" s="69">
        <v>618073770</v>
      </c>
      <c r="M498" s="2">
        <v>1147647777</v>
      </c>
      <c r="N498" s="79" t="s">
        <v>147</v>
      </c>
      <c r="O498" s="71" t="s">
        <v>51</v>
      </c>
      <c r="P498" s="66">
        <v>2024</v>
      </c>
      <c r="Q498" s="66" t="s">
        <v>38</v>
      </c>
      <c r="R498" s="66"/>
      <c r="S498" s="66"/>
      <c r="T498" s="70">
        <v>1</v>
      </c>
      <c r="U498" s="66" t="s">
        <v>74</v>
      </c>
    </row>
    <row r="499" spans="1:21" ht="40.15" customHeight="1">
      <c r="A499" s="66"/>
      <c r="B499" s="71" t="s">
        <v>1036</v>
      </c>
      <c r="C499" s="66" t="s">
        <v>336</v>
      </c>
      <c r="D499" s="66" t="s">
        <v>42</v>
      </c>
      <c r="E499" s="45" t="s">
        <v>695</v>
      </c>
      <c r="F499" s="71" t="s">
        <v>160</v>
      </c>
      <c r="G499" s="66" t="s">
        <v>743</v>
      </c>
      <c r="H499" s="66">
        <v>6</v>
      </c>
      <c r="I499" s="66" t="s">
        <v>26</v>
      </c>
      <c r="J499" s="66" t="s">
        <v>541</v>
      </c>
      <c r="K499" s="2">
        <v>5629794897</v>
      </c>
      <c r="L499" s="69">
        <v>0</v>
      </c>
      <c r="M499" s="2">
        <f>+K499</f>
        <v>5629794897</v>
      </c>
      <c r="N499" s="2" t="s">
        <v>697</v>
      </c>
      <c r="O499" s="71" t="s">
        <v>45</v>
      </c>
      <c r="P499" s="66">
        <v>2025</v>
      </c>
      <c r="Q499" s="66" t="s">
        <v>30</v>
      </c>
      <c r="R499" s="66"/>
      <c r="S499" s="66"/>
      <c r="T499" s="80">
        <v>0.02</v>
      </c>
      <c r="U499" s="71" t="s">
        <v>698</v>
      </c>
    </row>
    <row r="500" spans="1:21" ht="27.6">
      <c r="A500" s="94">
        <v>126</v>
      </c>
      <c r="B500" s="71" t="s">
        <v>1036</v>
      </c>
      <c r="C500" s="71" t="s">
        <v>336</v>
      </c>
      <c r="D500" s="71" t="s">
        <v>23</v>
      </c>
      <c r="E500" s="45" t="s">
        <v>729</v>
      </c>
      <c r="F500" s="71" t="s">
        <v>101</v>
      </c>
      <c r="G500" s="66" t="s">
        <v>1037</v>
      </c>
      <c r="H500" s="66">
        <v>30</v>
      </c>
      <c r="I500" s="66" t="s">
        <v>26</v>
      </c>
      <c r="J500" s="66" t="s">
        <v>27</v>
      </c>
      <c r="K500" s="69">
        <f>+'Estabilización datos '!G6*30</f>
        <v>29698129588.806</v>
      </c>
      <c r="L500" s="69">
        <v>0</v>
      </c>
      <c r="M500" s="69">
        <f>+K500</f>
        <v>29698129588.806</v>
      </c>
      <c r="N500" s="71" t="s">
        <v>28</v>
      </c>
      <c r="O500" s="71" t="s">
        <v>96</v>
      </c>
      <c r="P500" s="66">
        <v>2025</v>
      </c>
      <c r="Q500" s="66" t="s">
        <v>30</v>
      </c>
      <c r="R500" s="85"/>
      <c r="S500" s="87"/>
      <c r="T500" s="80"/>
      <c r="U500" s="71" t="s">
        <v>1038</v>
      </c>
    </row>
    <row r="501" spans="1:21" ht="13.9">
      <c r="A501" s="94"/>
      <c r="B501" s="71" t="s">
        <v>1036</v>
      </c>
      <c r="C501" s="71" t="s">
        <v>336</v>
      </c>
      <c r="D501" s="71" t="s">
        <v>42</v>
      </c>
      <c r="E501" s="45" t="s">
        <v>62</v>
      </c>
      <c r="F501" s="71" t="s">
        <v>1039</v>
      </c>
      <c r="G501" s="66" t="s">
        <v>1040</v>
      </c>
      <c r="H501" s="66">
        <v>9</v>
      </c>
      <c r="I501" s="66" t="s">
        <v>106</v>
      </c>
      <c r="J501" s="66"/>
      <c r="K501" s="69" t="s">
        <v>162</v>
      </c>
      <c r="L501" s="69" t="s">
        <v>162</v>
      </c>
      <c r="M501" s="69" t="s">
        <v>162</v>
      </c>
      <c r="N501" s="71" t="s">
        <v>98</v>
      </c>
      <c r="O501" s="71" t="s">
        <v>62</v>
      </c>
      <c r="P501" s="66">
        <v>2025</v>
      </c>
      <c r="Q501" s="66"/>
      <c r="R501" s="66"/>
      <c r="S501" s="66"/>
      <c r="T501" s="80"/>
      <c r="U501" s="71"/>
    </row>
    <row r="502" spans="1:21" ht="78" customHeight="1">
      <c r="A502" s="94"/>
      <c r="B502" s="71" t="s">
        <v>1036</v>
      </c>
      <c r="C502" s="71" t="s">
        <v>336</v>
      </c>
      <c r="D502" s="71" t="s">
        <v>23</v>
      </c>
      <c r="E502" s="45" t="s">
        <v>62</v>
      </c>
      <c r="F502" s="71" t="s">
        <v>1041</v>
      </c>
      <c r="G502" s="71" t="s">
        <v>1042</v>
      </c>
      <c r="H502" s="71">
        <v>10</v>
      </c>
      <c r="I502" s="71" t="s">
        <v>88</v>
      </c>
      <c r="J502" s="71"/>
      <c r="K502" s="79">
        <f>+M502</f>
        <v>76000000000</v>
      </c>
      <c r="L502" s="79">
        <v>0</v>
      </c>
      <c r="M502" s="69">
        <v>76000000000</v>
      </c>
      <c r="N502" s="71" t="s">
        <v>841</v>
      </c>
      <c r="O502" s="71" t="s">
        <v>62</v>
      </c>
      <c r="P502" s="66">
        <v>2025</v>
      </c>
      <c r="Q502" s="66" t="s">
        <v>99</v>
      </c>
      <c r="R502" s="66"/>
      <c r="S502" s="66"/>
      <c r="T502" s="66"/>
      <c r="U502" s="71" t="s">
        <v>1043</v>
      </c>
    </row>
    <row r="503" spans="1:21" ht="41.45">
      <c r="A503" s="93">
        <v>127</v>
      </c>
      <c r="B503" s="71" t="s">
        <v>1044</v>
      </c>
      <c r="C503" s="66" t="s">
        <v>292</v>
      </c>
      <c r="D503" s="66" t="s">
        <v>23</v>
      </c>
      <c r="E503" s="81">
        <v>20240214000273</v>
      </c>
      <c r="F503" s="71" t="s">
        <v>1045</v>
      </c>
      <c r="G503" s="71" t="s">
        <v>1046</v>
      </c>
      <c r="H503" s="71">
        <v>2.8</v>
      </c>
      <c r="I503" s="71" t="s">
        <v>88</v>
      </c>
      <c r="J503" s="71" t="s">
        <v>55</v>
      </c>
      <c r="K503" s="2">
        <f>+M503</f>
        <v>15339919769</v>
      </c>
      <c r="L503" s="69">
        <v>0</v>
      </c>
      <c r="M503" s="69">
        <v>15339919769</v>
      </c>
      <c r="N503" s="71" t="s">
        <v>98</v>
      </c>
      <c r="O503" s="71" t="s">
        <v>62</v>
      </c>
      <c r="P503" s="66">
        <v>2024</v>
      </c>
      <c r="Q503" s="66" t="s">
        <v>99</v>
      </c>
      <c r="R503" s="66"/>
      <c r="S503" s="66"/>
      <c r="T503" s="70">
        <v>0</v>
      </c>
      <c r="U503" s="71" t="s">
        <v>1047</v>
      </c>
    </row>
    <row r="504" spans="1:21" ht="13.9">
      <c r="A504" s="93"/>
      <c r="B504" s="71" t="s">
        <v>1044</v>
      </c>
      <c r="C504" s="66" t="s">
        <v>292</v>
      </c>
      <c r="D504" s="66" t="s">
        <v>42</v>
      </c>
      <c r="E504" s="81" t="s">
        <v>1048</v>
      </c>
      <c r="F504" s="71" t="s">
        <v>265</v>
      </c>
      <c r="G504" s="71" t="s">
        <v>399</v>
      </c>
      <c r="H504" s="71">
        <v>0.5</v>
      </c>
      <c r="I504" s="71" t="s">
        <v>88</v>
      </c>
      <c r="J504" s="71" t="s">
        <v>55</v>
      </c>
      <c r="K504" s="2">
        <v>175000000</v>
      </c>
      <c r="L504" s="69">
        <v>2351437118</v>
      </c>
      <c r="M504" s="69">
        <f>+K504+L504</f>
        <v>2526437118</v>
      </c>
      <c r="N504" s="71" t="s">
        <v>73</v>
      </c>
      <c r="O504" s="71" t="s">
        <v>114</v>
      </c>
      <c r="P504" s="66">
        <v>2025</v>
      </c>
      <c r="Q504" s="66" t="s">
        <v>30</v>
      </c>
      <c r="R504" s="66"/>
      <c r="S504" s="66"/>
      <c r="T504" s="70">
        <v>0.15</v>
      </c>
      <c r="U504" s="71"/>
    </row>
    <row r="505" spans="1:21" ht="55.15">
      <c r="A505" s="93"/>
      <c r="B505" s="51" t="s">
        <v>1044</v>
      </c>
      <c r="C505" s="52" t="s">
        <v>292</v>
      </c>
      <c r="D505" s="52" t="s">
        <v>42</v>
      </c>
      <c r="E505" s="53" t="s">
        <v>1049</v>
      </c>
      <c r="F505" s="51" t="s">
        <v>1050</v>
      </c>
      <c r="G505" s="52">
        <v>0</v>
      </c>
      <c r="H505" s="52">
        <v>0</v>
      </c>
      <c r="I505" s="52" t="s">
        <v>88</v>
      </c>
      <c r="J505" s="52"/>
      <c r="K505" s="54">
        <v>0</v>
      </c>
      <c r="L505" s="30">
        <v>800000000</v>
      </c>
      <c r="M505" s="54">
        <f>+K505+L505</f>
        <v>800000000</v>
      </c>
      <c r="N505" s="51" t="s">
        <v>73</v>
      </c>
      <c r="O505" s="51" t="s">
        <v>51</v>
      </c>
      <c r="P505" s="52">
        <v>2024</v>
      </c>
      <c r="Q505" s="52" t="s">
        <v>52</v>
      </c>
      <c r="R505" s="52"/>
      <c r="S505" s="52"/>
      <c r="T505" s="31">
        <v>0</v>
      </c>
      <c r="U505" s="51" t="s">
        <v>1051</v>
      </c>
    </row>
    <row r="506" spans="1:21" ht="55.9" hidden="1" customHeight="1">
      <c r="K506" s="27"/>
      <c r="M506" s="56"/>
      <c r="R506" s="33"/>
      <c r="S506" s="33"/>
      <c r="T506" s="57"/>
    </row>
    <row r="507" spans="1:21" ht="13.9" hidden="1">
      <c r="E507" s="55" t="s">
        <v>716</v>
      </c>
      <c r="K507" s="8"/>
      <c r="R507" s="33"/>
      <c r="S507" s="33"/>
      <c r="T507" s="29"/>
    </row>
    <row r="508" spans="1:21" ht="15" customHeight="1">
      <c r="H508" s="33">
        <f>SUBTOTAL(9,H111:H507)</f>
        <v>1593.9279999999987</v>
      </c>
      <c r="K508" s="8"/>
      <c r="M508" s="58"/>
      <c r="T508" s="29"/>
    </row>
    <row r="509" spans="1:21" ht="15" customHeight="1">
      <c r="K509" s="8"/>
      <c r="M509" s="56"/>
      <c r="T509" s="29"/>
    </row>
    <row r="510" spans="1:21" ht="15" customHeight="1">
      <c r="K510" s="8"/>
      <c r="L510" s="8"/>
      <c r="M510" s="8"/>
      <c r="T510" s="29"/>
    </row>
    <row r="511" spans="1:21" ht="15" customHeight="1">
      <c r="K511" s="8"/>
      <c r="T511" s="29"/>
    </row>
    <row r="512" spans="1:21" ht="15" customHeight="1">
      <c r="K512" s="8"/>
      <c r="T512" s="29"/>
    </row>
    <row r="513" spans="11:20" ht="15" customHeight="1">
      <c r="K513" s="8"/>
      <c r="M513" s="58"/>
      <c r="N513" s="58"/>
      <c r="T513" s="29"/>
    </row>
    <row r="514" spans="11:20" ht="15" customHeight="1">
      <c r="K514" s="8"/>
      <c r="M514" s="58"/>
      <c r="T514" s="29"/>
    </row>
    <row r="515" spans="11:20" ht="15" customHeight="1">
      <c r="K515" s="8"/>
      <c r="T515" s="29"/>
    </row>
    <row r="517" spans="11:20" ht="15" customHeight="1">
      <c r="K517" s="8"/>
    </row>
    <row r="518" spans="11:20" ht="15" customHeight="1">
      <c r="K518" s="8"/>
    </row>
    <row r="519" spans="11:20" ht="15" customHeight="1">
      <c r="K519" s="60"/>
    </row>
    <row r="520" spans="11:20" ht="15" customHeight="1">
      <c r="K520" s="8"/>
    </row>
    <row r="521" spans="11:20" ht="15" customHeight="1">
      <c r="K521" s="8"/>
    </row>
  </sheetData>
  <autoFilter ref="A2:U507" xr:uid="{AE671324-A880-40DD-8209-9E3234F3C075}">
    <filterColumn colId="15">
      <filters>
        <filter val="2024"/>
        <filter val="2025"/>
        <filter val="2026"/>
      </filters>
    </filterColumn>
    <filterColumn colId="16">
      <filters blank="1">
        <filter val="Adjudicado"/>
        <filter val="En  ejecución"/>
        <filter val="En ejecución"/>
        <filter val="En estructuración"/>
        <filter val="Por iniciar"/>
        <filter val="Suspendido"/>
        <filter val="Teminado"/>
        <filter val="Termiando"/>
        <filter val="Terminado"/>
        <filter val="Terminado 2025"/>
      </filters>
    </filterColumn>
  </autoFilter>
  <mergeCells count="137">
    <mergeCell ref="A408:A411"/>
    <mergeCell ref="A412:A416"/>
    <mergeCell ref="A417:A424"/>
    <mergeCell ref="A427:A433"/>
    <mergeCell ref="A434:A439"/>
    <mergeCell ref="K434:K435"/>
    <mergeCell ref="T434:T435"/>
    <mergeCell ref="L434:L435"/>
    <mergeCell ref="M434:M435"/>
    <mergeCell ref="N434:N435"/>
    <mergeCell ref="O434:O435"/>
    <mergeCell ref="P434:P435"/>
    <mergeCell ref="A319:A320"/>
    <mergeCell ref="A321:A330"/>
    <mergeCell ref="A335:A338"/>
    <mergeCell ref="A340:A341"/>
    <mergeCell ref="A342:A348"/>
    <mergeCell ref="A503:A505"/>
    <mergeCell ref="A468:A474"/>
    <mergeCell ref="A475:A478"/>
    <mergeCell ref="A486:A488"/>
    <mergeCell ref="A491:A494"/>
    <mergeCell ref="A495:A498"/>
    <mergeCell ref="A500:A502"/>
    <mergeCell ref="A440:A447"/>
    <mergeCell ref="A448:A449"/>
    <mergeCell ref="A450:A453"/>
    <mergeCell ref="A454:A456"/>
    <mergeCell ref="A457:A461"/>
    <mergeCell ref="A349:A351"/>
    <mergeCell ref="A352:A357"/>
    <mergeCell ref="A363:A364"/>
    <mergeCell ref="A368:A372"/>
    <mergeCell ref="A373:A384"/>
    <mergeCell ref="A385:A392"/>
    <mergeCell ref="A394:A399"/>
    <mergeCell ref="A400:A405"/>
    <mergeCell ref="A406:A407"/>
    <mergeCell ref="P310:P311"/>
    <mergeCell ref="U310:U311"/>
    <mergeCell ref="T310:T311"/>
    <mergeCell ref="A311:A316"/>
    <mergeCell ref="F312:F313"/>
    <mergeCell ref="G312:G313"/>
    <mergeCell ref="K312:K313"/>
    <mergeCell ref="L312:L313"/>
    <mergeCell ref="M312:M313"/>
    <mergeCell ref="N312:N313"/>
    <mergeCell ref="G310:G311"/>
    <mergeCell ref="K310:K311"/>
    <mergeCell ref="L310:L311"/>
    <mergeCell ref="M310:M311"/>
    <mergeCell ref="N310:N311"/>
    <mergeCell ref="O310:O311"/>
    <mergeCell ref="Q310:Q311"/>
    <mergeCell ref="Q312:Q313"/>
    <mergeCell ref="O312:O313"/>
    <mergeCell ref="P312:P313"/>
    <mergeCell ref="U312:U313"/>
    <mergeCell ref="T312:T313"/>
    <mergeCell ref="A295:A297"/>
    <mergeCell ref="A298:A300"/>
    <mergeCell ref="A301:A302"/>
    <mergeCell ref="A303:A304"/>
    <mergeCell ref="A305:A308"/>
    <mergeCell ref="F310:F311"/>
    <mergeCell ref="A261:A265"/>
    <mergeCell ref="A267:A270"/>
    <mergeCell ref="A272:A276"/>
    <mergeCell ref="A281:A282"/>
    <mergeCell ref="A283:A284"/>
    <mergeCell ref="A285:A293"/>
    <mergeCell ref="E310:E311"/>
    <mergeCell ref="A214:A218"/>
    <mergeCell ref="A223:A228"/>
    <mergeCell ref="A235:A240"/>
    <mergeCell ref="A241:A247"/>
    <mergeCell ref="A249:A251"/>
    <mergeCell ref="A255:A260"/>
    <mergeCell ref="A195:A196"/>
    <mergeCell ref="A197:A200"/>
    <mergeCell ref="A204:A206"/>
    <mergeCell ref="A207:A208"/>
    <mergeCell ref="A209:A211"/>
    <mergeCell ref="A212:A213"/>
    <mergeCell ref="A165:A166"/>
    <mergeCell ref="A169:A173"/>
    <mergeCell ref="A174:A180"/>
    <mergeCell ref="A183:A185"/>
    <mergeCell ref="A187:A189"/>
    <mergeCell ref="A191:A193"/>
    <mergeCell ref="A121:A124"/>
    <mergeCell ref="A133:A136"/>
    <mergeCell ref="A138:A144"/>
    <mergeCell ref="A145:A147"/>
    <mergeCell ref="A149:A150"/>
    <mergeCell ref="A153:A164"/>
    <mergeCell ref="A69:A77"/>
    <mergeCell ref="A78:A117"/>
    <mergeCell ref="A119:A120"/>
    <mergeCell ref="A35:A36"/>
    <mergeCell ref="A38:A40"/>
    <mergeCell ref="A41:A45"/>
    <mergeCell ref="A46:A47"/>
    <mergeCell ref="A48:A53"/>
    <mergeCell ref="A54:A58"/>
    <mergeCell ref="B1:C1"/>
    <mergeCell ref="A3:A5"/>
    <mergeCell ref="A7:A10"/>
    <mergeCell ref="A11:A16"/>
    <mergeCell ref="A20:A23"/>
    <mergeCell ref="A24:A34"/>
    <mergeCell ref="A59:A61"/>
    <mergeCell ref="A62:A64"/>
    <mergeCell ref="A67:A68"/>
    <mergeCell ref="M91:M101"/>
    <mergeCell ref="N91:N92"/>
    <mergeCell ref="O91:O92"/>
    <mergeCell ref="P91:P92"/>
    <mergeCell ref="Q91:Q92"/>
    <mergeCell ref="T91:T92"/>
    <mergeCell ref="E475:E476"/>
    <mergeCell ref="U91:U92"/>
    <mergeCell ref="M475:M476"/>
    <mergeCell ref="K475:K476"/>
    <mergeCell ref="L475:L476"/>
    <mergeCell ref="U475:U476"/>
    <mergeCell ref="U434:U435"/>
    <mergeCell ref="H310:H311"/>
    <mergeCell ref="H312:H313"/>
    <mergeCell ref="J310:J311"/>
    <mergeCell ref="I310:I311"/>
    <mergeCell ref="I312:I313"/>
    <mergeCell ref="J312:J313"/>
    <mergeCell ref="E312:E313"/>
    <mergeCell ref="K91:K101"/>
    <mergeCell ref="L91:L101"/>
  </mergeCells>
  <pageMargins left="0.7" right="0.7" top="0.75" bottom="0.75" header="0.3" footer="0.3"/>
  <pageSetup paperSize="14" scale="19" orientation="landscape" r:id="rId1"/>
  <rowBreaks count="1" manualBreakCount="1">
    <brk id="515" max="16383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741C3-3798-4F4E-8B25-FDCA2ADDEF39}">
  <dimension ref="B2:I16"/>
  <sheetViews>
    <sheetView workbookViewId="0">
      <selection activeCell="B15" sqref="B15"/>
    </sheetView>
  </sheetViews>
  <sheetFormatPr defaultColWidth="9.140625" defaultRowHeight="13.9"/>
  <cols>
    <col min="1" max="1" width="9.140625" style="12"/>
    <col min="2" max="2" width="15.28515625" style="12" bestFit="1" customWidth="1"/>
    <col min="3" max="3" width="20" style="12" bestFit="1" customWidth="1"/>
    <col min="4" max="4" width="19" style="11" customWidth="1"/>
    <col min="5" max="5" width="19" style="20" customWidth="1"/>
    <col min="6" max="6" width="9.5703125" style="13" customWidth="1"/>
    <col min="7" max="7" width="20.42578125" style="18" bestFit="1" customWidth="1"/>
    <col min="8" max="8" width="20.28515625" style="12" customWidth="1"/>
    <col min="9" max="9" width="23.28515625" style="12" customWidth="1"/>
    <col min="10" max="10" width="9.140625" style="12"/>
    <col min="11" max="11" width="9.28515625" style="12" customWidth="1"/>
    <col min="12" max="16384" width="9.140625" style="12"/>
  </cols>
  <sheetData>
    <row r="2" spans="2:9" ht="27.6">
      <c r="B2" s="112" t="s">
        <v>1052</v>
      </c>
      <c r="C2" s="112"/>
      <c r="D2" s="23" t="s">
        <v>1053</v>
      </c>
      <c r="E2" s="23" t="s">
        <v>1054</v>
      </c>
      <c r="F2" s="24" t="s">
        <v>1055</v>
      </c>
      <c r="G2" s="25" t="s">
        <v>1056</v>
      </c>
    </row>
    <row r="3" spans="2:9" ht="48" customHeight="1">
      <c r="B3" s="14" t="s">
        <v>1057</v>
      </c>
      <c r="C3" s="14" t="s">
        <v>1058</v>
      </c>
      <c r="D3" s="17">
        <v>108554215084</v>
      </c>
      <c r="E3" s="17">
        <v>58743460670</v>
      </c>
      <c r="F3" s="14">
        <v>96.96</v>
      </c>
      <c r="G3" s="17">
        <f>(+D3+E3)/F3</f>
        <v>1725429824.1955447</v>
      </c>
      <c r="H3" s="11">
        <v>1292280517</v>
      </c>
      <c r="I3" s="22"/>
    </row>
    <row r="4" spans="2:9" ht="48" customHeight="1">
      <c r="B4" s="15" t="s">
        <v>1059</v>
      </c>
      <c r="C4" s="15" t="s">
        <v>1060</v>
      </c>
      <c r="D4" s="19">
        <v>104855613958</v>
      </c>
      <c r="E4" s="19">
        <v>7853059284</v>
      </c>
      <c r="F4" s="15">
        <v>94.95</v>
      </c>
      <c r="G4" s="17">
        <f t="shared" ref="G4:G9" si="0">(+D4+E4)/F4</f>
        <v>1187031840.3580832</v>
      </c>
      <c r="I4" s="12">
        <f>+H3*5.33</f>
        <v>6887855155.6099997</v>
      </c>
    </row>
    <row r="5" spans="2:9">
      <c r="B5" s="15" t="s">
        <v>1061</v>
      </c>
      <c r="C5" s="15" t="s">
        <v>1062</v>
      </c>
      <c r="D5" s="19">
        <v>144973755369</v>
      </c>
      <c r="E5" s="19">
        <v>9595864128</v>
      </c>
      <c r="F5" s="15">
        <v>120.65</v>
      </c>
      <c r="G5" s="17">
        <f t="shared" si="0"/>
        <v>1281140650.6174886</v>
      </c>
    </row>
    <row r="6" spans="2:9">
      <c r="B6" s="15" t="s">
        <v>1063</v>
      </c>
      <c r="C6" s="15" t="s">
        <v>1064</v>
      </c>
      <c r="D6" s="19">
        <v>54441800920</v>
      </c>
      <c r="E6" s="19">
        <v>4769992.8109999998</v>
      </c>
      <c r="F6" s="15">
        <v>55</v>
      </c>
      <c r="G6" s="17">
        <f t="shared" si="0"/>
        <v>989937652.96019995</v>
      </c>
    </row>
    <row r="7" spans="2:9">
      <c r="B7" s="15" t="s">
        <v>1065</v>
      </c>
      <c r="C7" s="15" t="s">
        <v>1066</v>
      </c>
      <c r="D7" s="19">
        <v>72870090400</v>
      </c>
      <c r="E7" s="19">
        <v>5960752013</v>
      </c>
      <c r="F7" s="15">
        <v>68.260000000000005</v>
      </c>
      <c r="G7" s="17">
        <f t="shared" si="0"/>
        <v>1154861447.5974216</v>
      </c>
      <c r="I7" s="11"/>
    </row>
    <row r="8" spans="2:9" ht="48" customHeight="1">
      <c r="B8" s="15" t="s">
        <v>1067</v>
      </c>
      <c r="C8" s="15" t="s">
        <v>1068</v>
      </c>
      <c r="D8" s="19">
        <v>57385592096</v>
      </c>
      <c r="E8" s="19">
        <v>4671608128</v>
      </c>
      <c r="F8" s="15">
        <v>54.1</v>
      </c>
      <c r="G8" s="17">
        <f t="shared" si="0"/>
        <v>1147083183.4380777</v>
      </c>
    </row>
    <row r="9" spans="2:9">
      <c r="B9" s="15" t="s">
        <v>1069</v>
      </c>
      <c r="C9" s="15" t="s">
        <v>1070</v>
      </c>
      <c r="D9" s="19">
        <v>26362070969</v>
      </c>
      <c r="E9" s="19">
        <v>1854347722</v>
      </c>
      <c r="F9" s="15">
        <v>25</v>
      </c>
      <c r="G9" s="17">
        <f t="shared" si="0"/>
        <v>1128656747.6400001</v>
      </c>
    </row>
    <row r="10" spans="2:9">
      <c r="B10" s="15" t="s">
        <v>1071</v>
      </c>
      <c r="C10" s="15" t="s">
        <v>1072</v>
      </c>
      <c r="D10" s="19">
        <v>124487403196</v>
      </c>
      <c r="E10" s="19">
        <v>9498182082</v>
      </c>
      <c r="F10" s="15">
        <v>117.25</v>
      </c>
      <c r="G10" s="17">
        <f>(+D10+E10)/F10</f>
        <v>1142734202.7974415</v>
      </c>
    </row>
    <row r="15" spans="2:9">
      <c r="C15" s="21"/>
    </row>
    <row r="16" spans="2:9">
      <c r="C16" s="21"/>
    </row>
  </sheetData>
  <mergeCells count="1">
    <mergeCell ref="B2:C2"/>
  </mergeCells>
  <pageMargins left="0.7" right="0.7" top="0.75" bottom="0.75" header="0.3" footer="0.3"/>
  <pageSetup orientation="portrait" horizontalDpi="300" verticalDpi="0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96d3992-be07-45a7-867c-b27a695f80c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D90174D47A804391C4DA452EC9730D" ma:contentTypeVersion="6" ma:contentTypeDescription="Create a new document." ma:contentTypeScope="" ma:versionID="11305cf558cbbb68e97719bf6ef90d42">
  <xsd:schema xmlns:xsd="http://www.w3.org/2001/XMLSchema" xmlns:xs="http://www.w3.org/2001/XMLSchema" xmlns:p="http://schemas.microsoft.com/office/2006/metadata/properties" xmlns:ns3="c96d3992-be07-45a7-867c-b27a695f80ce" targetNamespace="http://schemas.microsoft.com/office/2006/metadata/properties" ma:root="true" ma:fieldsID="cdbccf51d1e4c105d105367bb80d227d" ns3:_="">
    <xsd:import namespace="c96d3992-be07-45a7-867c-b27a695f80c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6d3992-be07-45a7-867c-b27a695f80c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926989-63FF-4C05-9608-95BD8CEA9583}"/>
</file>

<file path=customXml/itemProps2.xml><?xml version="1.0" encoding="utf-8"?>
<ds:datastoreItem xmlns:ds="http://schemas.openxmlformats.org/officeDocument/2006/customXml" ds:itemID="{683C3745-F86F-4FA4-9EFA-9CFDB6D099D7}"/>
</file>

<file path=customXml/itemProps3.xml><?xml version="1.0" encoding="utf-8"?>
<ds:datastoreItem xmlns:ds="http://schemas.openxmlformats.org/officeDocument/2006/customXml" ds:itemID="{228C0667-8F71-40C6-9A98-A1E447AB07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APOYOS IF</dc:creator>
  <cp:keywords/>
  <dc:description/>
  <cp:lastModifiedBy>MATEO GARCES CESPEDES</cp:lastModifiedBy>
  <cp:revision/>
  <dcterms:created xsi:type="dcterms:W3CDTF">2025-06-11T20:46:34Z</dcterms:created>
  <dcterms:modified xsi:type="dcterms:W3CDTF">2026-09-17T23:47:44Z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0x01010086D90174D47A804391C4DA452EC9730D</vt:lpwstr>
  </property>
</Properties>
</file>